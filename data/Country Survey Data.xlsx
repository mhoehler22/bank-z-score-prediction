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llevueuniversity-my.sharepoint.com/personal/mhoehler_my365_bellevue_edu/Documents/DSC550/Final/"/>
    </mc:Choice>
  </mc:AlternateContent>
  <xr:revisionPtr revIDLastSave="2" documentId="8_{23281ABA-C03B-4A4D-B2F7-07646AFBC691}" xr6:coauthVersionLast="47" xr6:coauthVersionMax="47" xr10:uidLastSave="{2D2BCB46-7D30-4D25-AB7E-4D5C38EFC9DE}"/>
  <bookViews>
    <workbookView xWindow="3225" yWindow="2010" windowWidth="23550" windowHeight="13170" activeTab="1" xr2:uid="{7E691494-6C78-4EDC-A108-7BCA8CE117B6}"/>
  </bookViews>
  <sheets>
    <sheet name="Sheet1" sheetId="2" r:id="rId1"/>
    <sheet name="Sample" sheetId="3" r:id="rId2"/>
    <sheet name="Country Survey Data" sheetId="1" r:id="rId3"/>
    <sheet name="Bank Z Score" sheetId="4" r:id="rId4"/>
  </sheets>
  <definedNames>
    <definedName name="_xlnm._FilterDatabase" localSheetId="3" hidden="1">'Bank Z Score'!$A$1:$P$226</definedName>
    <definedName name="_xlnm._FilterDatabase" localSheetId="1" hidden="1">Sample!$A$1:$T$1</definedName>
  </definedNames>
  <calcPr calcId="0"/>
  <pivotCaches>
    <pivotCache cacheId="4" r:id="rId5"/>
  </pivotCaches>
</workbook>
</file>

<file path=xl/calcChain.xml><?xml version="1.0" encoding="utf-8"?>
<calcChain xmlns="http://schemas.openxmlformats.org/spreadsheetml/2006/main">
  <c r="B65" i="3" l="1"/>
  <c r="B99" i="3"/>
  <c r="B74" i="3"/>
  <c r="B15" i="3"/>
  <c r="B125" i="3"/>
  <c r="B78" i="3"/>
  <c r="B111" i="3"/>
  <c r="B82" i="3"/>
  <c r="B75" i="3"/>
  <c r="B55" i="3"/>
  <c r="B68" i="3"/>
  <c r="B50" i="3"/>
  <c r="B85" i="3"/>
  <c r="B107" i="3"/>
  <c r="B71" i="3"/>
  <c r="B100" i="3"/>
  <c r="B62" i="3"/>
  <c r="B110" i="3"/>
  <c r="B21" i="3"/>
  <c r="B22" i="3"/>
  <c r="B77" i="3"/>
  <c r="B113" i="3"/>
  <c r="B26" i="3"/>
  <c r="B127" i="3"/>
  <c r="B45" i="3"/>
  <c r="B48" i="3"/>
  <c r="B114" i="3"/>
  <c r="B90" i="3"/>
  <c r="B23" i="3"/>
  <c r="B13" i="3"/>
  <c r="B98" i="3"/>
  <c r="B38" i="3"/>
  <c r="B39" i="3"/>
  <c r="B106" i="3"/>
  <c r="B87" i="3"/>
  <c r="B12" i="3"/>
  <c r="B56" i="3"/>
  <c r="B42" i="3"/>
  <c r="B108" i="3"/>
  <c r="B64" i="3"/>
  <c r="B76" i="3"/>
  <c r="B120" i="3"/>
  <c r="B16" i="3"/>
  <c r="B24" i="3"/>
  <c r="B88" i="3"/>
  <c r="B20" i="3"/>
  <c r="B43" i="3"/>
  <c r="B116" i="3"/>
  <c r="B129" i="3"/>
  <c r="B47" i="3"/>
  <c r="B122" i="3"/>
  <c r="B9" i="3"/>
  <c r="B91" i="3"/>
  <c r="B17" i="3"/>
  <c r="B79" i="3"/>
  <c r="B66" i="3"/>
  <c r="B81" i="3"/>
  <c r="B3" i="3"/>
  <c r="B128" i="3"/>
  <c r="B32" i="3"/>
  <c r="B95" i="3"/>
  <c r="B61" i="3"/>
  <c r="B72" i="3"/>
  <c r="B46" i="3"/>
  <c r="B115" i="3"/>
  <c r="B41" i="3"/>
  <c r="B58" i="3"/>
  <c r="B96" i="3"/>
  <c r="B124" i="3"/>
  <c r="B2" i="3"/>
  <c r="B40" i="3"/>
  <c r="B73" i="3"/>
  <c r="B37" i="3"/>
  <c r="B52" i="3"/>
  <c r="B92" i="3"/>
  <c r="B30" i="3"/>
  <c r="B105" i="3"/>
  <c r="B10" i="3"/>
  <c r="B101" i="3"/>
  <c r="B5" i="3"/>
  <c r="B117" i="3"/>
  <c r="B112" i="3"/>
  <c r="B31" i="3"/>
  <c r="B18" i="3"/>
  <c r="B80" i="3"/>
  <c r="B4" i="3"/>
  <c r="B25" i="3"/>
  <c r="B86" i="3"/>
  <c r="B97" i="3"/>
  <c r="B84" i="3"/>
  <c r="B44" i="3"/>
  <c r="B103" i="3"/>
  <c r="B6" i="3"/>
  <c r="B54" i="3"/>
  <c r="B57" i="3"/>
  <c r="B29" i="3"/>
  <c r="B118" i="3"/>
  <c r="B63" i="3"/>
  <c r="B51" i="3"/>
  <c r="B94" i="3"/>
  <c r="B119" i="3"/>
  <c r="B35" i="3"/>
  <c r="B28" i="3"/>
  <c r="B93" i="3"/>
  <c r="B19" i="3"/>
  <c r="B49" i="3"/>
  <c r="B126" i="3"/>
  <c r="B67" i="3"/>
  <c r="B59" i="3"/>
  <c r="B11" i="3"/>
  <c r="B7" i="3"/>
  <c r="B70" i="3"/>
  <c r="B104" i="3"/>
  <c r="B69" i="3"/>
  <c r="B34" i="3"/>
  <c r="B109" i="3"/>
  <c r="B36" i="3"/>
  <c r="B8" i="3"/>
  <c r="B60" i="3"/>
  <c r="B123" i="3"/>
  <c r="B33" i="3"/>
  <c r="B53" i="3"/>
  <c r="B14" i="3"/>
  <c r="B121" i="3"/>
  <c r="B89" i="3"/>
  <c r="B83" i="3"/>
  <c r="B102" i="3"/>
  <c r="B27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" i="1"/>
</calcChain>
</file>

<file path=xl/sharedStrings.xml><?xml version="1.0" encoding="utf-8"?>
<sst xmlns="http://schemas.openxmlformats.org/spreadsheetml/2006/main" count="10992" uniqueCount="516">
  <si>
    <t>Country Name</t>
  </si>
  <si>
    <t>Country Code</t>
  </si>
  <si>
    <t>Series Name</t>
  </si>
  <si>
    <t>Series Code</t>
  </si>
  <si>
    <t>2019 [YR2019]</t>
  </si>
  <si>
    <t>2020 [YR2020]</t>
  </si>
  <si>
    <t>2021 [YR2021]</t>
  </si>
  <si>
    <t>2022 [YR2022]</t>
  </si>
  <si>
    <t>2023 [YR2023]</t>
  </si>
  <si>
    <t>Afghanistan</t>
  </si>
  <si>
    <t>AFG</t>
  </si>
  <si>
    <t>Account ownership at a financial institution or with a mobile-money-service provider (% of population ages 15+)</t>
  </si>
  <si>
    <t>FX.OWN.TOTL.ZS</t>
  </si>
  <si>
    <t>..</t>
  </si>
  <si>
    <t>Account ownership at a financial institution or with a mobile-money-service provider, female (% of population ages 15+)</t>
  </si>
  <si>
    <t>FX.OWN.TOTL.FE.ZS</t>
  </si>
  <si>
    <t>Account ownership at a financial institution or with a mobile-money-service provider, male (% of population ages 15+)</t>
  </si>
  <si>
    <t>FX.OWN.TOTL.MA.ZS</t>
  </si>
  <si>
    <t>Account ownership at a financial institution or with a mobile-money-service provider, poorest 40% (% of population ages 15+)</t>
  </si>
  <si>
    <t>FX.OWN.TOTL.40.ZS</t>
  </si>
  <si>
    <t>Account ownership at a financial institution or with a mobile-money-service provider, young adults (% of population ages 15-24)</t>
  </si>
  <si>
    <t>FX.OWN.TOTL.YG.ZS</t>
  </si>
  <si>
    <t>Account ownership at a financial institution or with a mobile-money-service provider, primary education or less (% of population ages 15+)</t>
  </si>
  <si>
    <t>FX.OWN.TOTL.PL.ZS</t>
  </si>
  <si>
    <t>Average working hours of children, working only, ages 7-14 (hours per week)</t>
  </si>
  <si>
    <t>SL.TLF.0714.WK.TM</t>
  </si>
  <si>
    <t>Bribery incidence (% of firms experiencing at least one bribe payment request)</t>
  </si>
  <si>
    <t>IC.FRM.BRIB.ZS</t>
  </si>
  <si>
    <t>Business extent of disclosure index (0=less disclosure to 10=more disclosure)</t>
  </si>
  <si>
    <t>IC.BUS.DISC.XQ</t>
  </si>
  <si>
    <t>Central government debt, total (% of GDP)</t>
  </si>
  <si>
    <t>GC.DOD.TOTL.GD.ZS</t>
  </si>
  <si>
    <t>Compulsory education, duration (years)</t>
  </si>
  <si>
    <t>SE.COM.DURS</t>
  </si>
  <si>
    <t>Control of Corruption: Percentile Rank</t>
  </si>
  <si>
    <t>CC.PER.RNK</t>
  </si>
  <si>
    <t>Coverage of social safety net programs (% of population)</t>
  </si>
  <si>
    <t>per_sa_allsa.cov_pop_tot</t>
  </si>
  <si>
    <t>Coverage of social insurance programs in poorest quintile (% of population)</t>
  </si>
  <si>
    <t>per_si_allsi.cov_q1_tot</t>
  </si>
  <si>
    <t>Survival to age 65, female (% of cohort)</t>
  </si>
  <si>
    <t>SP.DYN.TO65.FE.ZS</t>
  </si>
  <si>
    <t>Technicians in R&amp;D (per million people)</t>
  </si>
  <si>
    <t>SP.POP.TECH.RD.P6</t>
  </si>
  <si>
    <t>Time required to start a business (days)</t>
  </si>
  <si>
    <t>IC.REG.DURS</t>
  </si>
  <si>
    <t>Algeria</t>
  </si>
  <si>
    <t>DZA</t>
  </si>
  <si>
    <t>Denmark</t>
  </si>
  <si>
    <t>DNK</t>
  </si>
  <si>
    <t>Ecuador</t>
  </si>
  <si>
    <t>ECU</t>
  </si>
  <si>
    <t>Angola</t>
  </si>
  <si>
    <t>AGO</t>
  </si>
  <si>
    <t>Argentina</t>
  </si>
  <si>
    <t>ARG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</si>
  <si>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</si>
  <si>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</si>
  <si>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</si>
  <si>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</si>
  <si>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</si>
  <si>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</si>
  <si>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</si>
  <si>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</si>
  <si>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</si>
  <si>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</si>
  <si>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</si>
  <si>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</si>
  <si>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</si>
  <si>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</si>
  <si>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</si>
  <si>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</si>
  <si>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</si>
  <si>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</si>
  <si>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</si>
  <si>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</si>
  <si>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</si>
  <si>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</si>
  <si>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</si>
  <si>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</si>
  <si>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</si>
  <si>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</si>
  <si>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</si>
  <si>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</si>
  <si>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</si>
  <si>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</si>
  <si>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</si>
  <si>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</si>
  <si>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Cabo Verde</t>
  </si>
  <si>
    <t>CPV</t>
  </si>
  <si>
    <t>Cambodia</t>
  </si>
  <si>
    <t>KHM</t>
  </si>
  <si>
    <t>Canada</t>
  </si>
  <si>
    <t>CAN</t>
  </si>
  <si>
    <t>Chile</t>
  </si>
  <si>
    <t>CHL</t>
  </si>
  <si>
    <t>China</t>
  </si>
  <si>
    <t>CHN</t>
  </si>
  <si>
    <t>Colombia</t>
  </si>
  <si>
    <t>COL</t>
  </si>
  <si>
    <t>Costa Rica</t>
  </si>
  <si>
    <t>CRI</t>
  </si>
  <si>
    <t>Cote d'Ivoire</t>
  </si>
  <si>
    <t>CIV</t>
  </si>
  <si>
    <t>Croatia</t>
  </si>
  <si>
    <t>HRV</t>
  </si>
  <si>
    <t>Curacao</t>
  </si>
  <si>
    <t>CUW</t>
  </si>
  <si>
    <t>Dominican Republic</t>
  </si>
  <si>
    <t>DOM</t>
  </si>
  <si>
    <t>Egypt, Arab Rep.</t>
  </si>
  <si>
    <t>EGY</t>
  </si>
  <si>
    <t>El Salvador</t>
  </si>
  <si>
    <t>SLV</t>
  </si>
  <si>
    <t>Estonia</t>
  </si>
  <si>
    <t>EST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</si>
  <si>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</si>
  <si>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</si>
  <si>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</si>
  <si>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</si>
  <si>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</si>
  <si>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</si>
  <si>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</si>
  <si>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</si>
  <si>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</si>
  <si>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</si>
  <si>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</si>
  <si>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</si>
  <si>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</si>
  <si>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</si>
  <si>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</si>
  <si>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</si>
  <si>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</si>
  <si>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</si>
  <si>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</si>
  <si>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</si>
  <si>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</si>
  <si>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</si>
  <si>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</si>
  <si>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</si>
  <si>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</si>
  <si>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</si>
  <si>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</si>
  <si>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</si>
  <si>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</si>
  <si>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</si>
  <si>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</si>
  <si>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</si>
  <si>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</si>
  <si>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</si>
  <si>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</si>
  <si>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</si>
  <si>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</si>
  <si>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</si>
  <si>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</si>
  <si>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</si>
  <si>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</si>
  <si>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</si>
  <si>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</si>
  <si>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</si>
  <si>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</si>
  <si>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</si>
  <si>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</si>
  <si>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</si>
  <si>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</si>
  <si>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</si>
  <si>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</si>
  <si>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</si>
  <si>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Korea, Rep.</t>
  </si>
  <si>
    <t>KOR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</si>
  <si>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</si>
  <si>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</si>
  <si>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</si>
  <si>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</si>
  <si>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</si>
  <si>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</si>
  <si>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</si>
  <si>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</si>
  <si>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</si>
  <si>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</si>
  <si>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</si>
  <si>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</si>
  <si>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</si>
  <si>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</si>
  <si>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Lithuania</t>
  </si>
  <si>
    <t>LTU</t>
  </si>
  <si>
    <t>Luxembourg</t>
  </si>
  <si>
    <t>LUX</t>
  </si>
  <si>
    <t>Macao SAR, China</t>
  </si>
  <si>
    <t>MAC</t>
  </si>
  <si>
    <t>Malawi</t>
  </si>
  <si>
    <t>MWI</t>
  </si>
  <si>
    <t>Malaysia</t>
  </si>
  <si>
    <t>MYS</t>
  </si>
  <si>
    <t>Malta</t>
  </si>
  <si>
    <t>MLT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</si>
  <si>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</si>
  <si>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</si>
  <si>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</si>
  <si>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</si>
  <si>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</si>
  <si>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</si>
  <si>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</si>
  <si>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</si>
  <si>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</si>
  <si>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</si>
  <si>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</si>
  <si>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</si>
  <si>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</si>
  <si>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</si>
  <si>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</si>
  <si>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</si>
  <si>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</si>
  <si>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</si>
  <si>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</si>
  <si>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</si>
  <si>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</si>
  <si>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</si>
  <si>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</si>
  <si>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</si>
  <si>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</si>
  <si>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</si>
  <si>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</si>
  <si>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</si>
  <si>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</si>
  <si>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</si>
  <si>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</si>
  <si>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</si>
  <si>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</si>
  <si>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</si>
  <si>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</si>
  <si>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</si>
  <si>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</si>
  <si>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</si>
  <si>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</si>
  <si>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</si>
  <si>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</si>
  <si>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</si>
  <si>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</si>
  <si>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</si>
  <si>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</si>
  <si>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</si>
  <si>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</si>
  <si>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</si>
  <si>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</si>
  <si>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</si>
  <si>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Russian Federation</t>
  </si>
  <si>
    <t>RUS</t>
  </si>
  <si>
    <t>Rwanda</t>
  </si>
  <si>
    <t>RWA</t>
  </si>
  <si>
    <t>Romania</t>
  </si>
  <si>
    <t>ROU</t>
  </si>
  <si>
    <t>Saudi Arabia</t>
  </si>
  <si>
    <t>SAU</t>
  </si>
  <si>
    <t>Serbia</t>
  </si>
  <si>
    <t>SRB</t>
  </si>
  <si>
    <t>Singapore</t>
  </si>
  <si>
    <t>SGP</t>
  </si>
  <si>
    <t>Slovak Republic</t>
  </si>
  <si>
    <t>SVK</t>
  </si>
  <si>
    <t>Slovenia</t>
  </si>
  <si>
    <t>SVN</t>
  </si>
  <si>
    <t>South Africa</t>
  </si>
  <si>
    <t>ZAF</t>
  </si>
  <si>
    <t>Spain</t>
  </si>
  <si>
    <t>ESP</t>
  </si>
  <si>
    <t>Sri Lanka</t>
  </si>
  <si>
    <t>LKA</t>
  </si>
  <si>
    <t>Switzerland</t>
  </si>
  <si>
    <t>CHE</t>
  </si>
  <si>
    <t>Sweden</t>
  </si>
  <si>
    <t>SWE</t>
  </si>
  <si>
    <t>Syrian Arab Republic</t>
  </si>
  <si>
    <t>SYR</t>
  </si>
  <si>
    <t>Tajikistan</t>
  </si>
  <si>
    <t>TJK</t>
  </si>
  <si>
    <t>Thailand</t>
  </si>
  <si>
    <t>THA</t>
  </si>
  <si>
    <t>Tanzania</t>
  </si>
  <si>
    <t>TZA</t>
  </si>
  <si>
    <t>Trinidad and Tobago</t>
  </si>
  <si>
    <t>TTO</t>
  </si>
  <si>
    <t>Tunisia</t>
  </si>
  <si>
    <t>TUN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</si>
  <si>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</si>
  <si>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</si>
  <si>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</si>
  <si>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</si>
  <si>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</si>
  <si>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</si>
  <si>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</si>
  <si>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</si>
  <si>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</si>
  <si>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</si>
  <si>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</si>
  <si>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</si>
  <si>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</si>
  <si>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</si>
  <si>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Venezuela, RB</t>
  </si>
  <si>
    <t>VEN</t>
  </si>
  <si>
    <t>Zambia</t>
  </si>
  <si>
    <t>ZMB</t>
  </si>
  <si>
    <t>Data from database: World Development Indicators</t>
  </si>
  <si>
    <t>Last Updated: 12/16/2024</t>
  </si>
  <si>
    <t>Max</t>
  </si>
  <si>
    <t>Row Labels</t>
  </si>
  <si>
    <t>Grand Total</t>
  </si>
  <si>
    <t>Sum of Max</t>
  </si>
  <si>
    <t>Column Labels</t>
  </si>
  <si>
    <t>Z Score Bank</t>
  </si>
  <si>
    <t>Curaçao</t>
  </si>
  <si>
    <t>Last Updated: 09/23/2022</t>
  </si>
  <si>
    <t>Data from database: Global Financial Development</t>
  </si>
  <si>
    <t>ZWE</t>
  </si>
  <si>
    <t>Zimbabwe</t>
  </si>
  <si>
    <t>GFDD.SI.01</t>
  </si>
  <si>
    <t>Bank Z-score</t>
  </si>
  <si>
    <t>YEM</t>
  </si>
  <si>
    <t>Yemen, Rep.</t>
  </si>
  <si>
    <t>PSE</t>
  </si>
  <si>
    <t>West Bank and Gaza</t>
  </si>
  <si>
    <t>VIR</t>
  </si>
  <si>
    <t>Virgin Islands (U.S.)</t>
  </si>
  <si>
    <t>VNM</t>
  </si>
  <si>
    <t>Vietnam</t>
  </si>
  <si>
    <t>VUT</t>
  </si>
  <si>
    <t>Vanuatu</t>
  </si>
  <si>
    <t>TUV</t>
  </si>
  <si>
    <t>Tuvalu</t>
  </si>
  <si>
    <t>TCA</t>
  </si>
  <si>
    <t>Turks and Caicos Islands</t>
  </si>
  <si>
    <t>TKM</t>
  </si>
  <si>
    <t>Turkmenistan</t>
  </si>
  <si>
    <t>TUR</t>
  </si>
  <si>
    <t>Turkey</t>
  </si>
  <si>
    <t>TON</t>
  </si>
  <si>
    <t>Tonga</t>
  </si>
  <si>
    <t>TGO</t>
  </si>
  <si>
    <t>Togo</t>
  </si>
  <si>
    <t>TLS</t>
  </si>
  <si>
    <t>Timor-Leste</t>
  </si>
  <si>
    <t>TWN</t>
  </si>
  <si>
    <t>Taiwan, China</t>
  </si>
  <si>
    <t>SUR</t>
  </si>
  <si>
    <t>Suriname</t>
  </si>
  <si>
    <t>SDN</t>
  </si>
  <si>
    <t>Sudan</t>
  </si>
  <si>
    <t>VCT</t>
  </si>
  <si>
    <t>St. Vincent and the Grenadines</t>
  </si>
  <si>
    <t>LCA</t>
  </si>
  <si>
    <t>St. Lucia</t>
  </si>
  <si>
    <t>KNA</t>
  </si>
  <si>
    <t>St. Kitts and Nevis</t>
  </si>
  <si>
    <t>SSD</t>
  </si>
  <si>
    <t>South Sudan</t>
  </si>
  <si>
    <t>SOM</t>
  </si>
  <si>
    <t>Somalia</t>
  </si>
  <si>
    <t>SLB</t>
  </si>
  <si>
    <t>Solomon Islands</t>
  </si>
  <si>
    <t>SXM</t>
  </si>
  <si>
    <t>Sint Maarten (Dutch part)</t>
  </si>
  <si>
    <t>SLE</t>
  </si>
  <si>
    <t>Sierra Leone</t>
  </si>
  <si>
    <t>SYC</t>
  </si>
  <si>
    <t>Seychelles</t>
  </si>
  <si>
    <t>SEN</t>
  </si>
  <si>
    <t>Senegal</t>
  </si>
  <si>
    <t>STP</t>
  </si>
  <si>
    <t>São Tomé and Principe</t>
  </si>
  <si>
    <t>SMR</t>
  </si>
  <si>
    <t>San Marino</t>
  </si>
  <si>
    <t>WSM</t>
  </si>
  <si>
    <t>Samoa</t>
  </si>
  <si>
    <t>PRI</t>
  </si>
  <si>
    <t>Puerto Rico</t>
  </si>
  <si>
    <t>PNG</t>
  </si>
  <si>
    <t>Papua New Guinea</t>
  </si>
  <si>
    <t>PLW</t>
  </si>
  <si>
    <t>Palau</t>
  </si>
  <si>
    <t>NER</t>
  </si>
  <si>
    <t>Niger</t>
  </si>
  <si>
    <t>NCL</t>
  </si>
  <si>
    <t>New Caledonia</t>
  </si>
  <si>
    <t>NRU</t>
  </si>
  <si>
    <t>Nauru</t>
  </si>
  <si>
    <t>MCO</t>
  </si>
  <si>
    <t>Monaco</t>
  </si>
  <si>
    <t>FSM</t>
  </si>
  <si>
    <t>Micronesia, Fed. Sts.</t>
  </si>
  <si>
    <t>MRT</t>
  </si>
  <si>
    <t>Mauritania</t>
  </si>
  <si>
    <t>MHL</t>
  </si>
  <si>
    <t>Marshall Islands</t>
  </si>
  <si>
    <t>MLI</t>
  </si>
  <si>
    <t>Mali</t>
  </si>
  <si>
    <t>MDV</t>
  </si>
  <si>
    <t>Maldives</t>
  </si>
  <si>
    <t>MDG</t>
  </si>
  <si>
    <t>Madagascar</t>
  </si>
  <si>
    <t>LIE</t>
  </si>
  <si>
    <t>Liechtenstein</t>
  </si>
  <si>
    <t>LBY</t>
  </si>
  <si>
    <t>Libya</t>
  </si>
  <si>
    <t>XKX</t>
  </si>
  <si>
    <t>Kosovo</t>
  </si>
  <si>
    <t>PRK</t>
  </si>
  <si>
    <t>Korea, Dem. Rep.</t>
  </si>
  <si>
    <t>KIR</t>
  </si>
  <si>
    <t>Kiribati</t>
  </si>
  <si>
    <t>IMN</t>
  </si>
  <si>
    <t>Isle of Man</t>
  </si>
  <si>
    <t>IRN</t>
  </si>
  <si>
    <t>Iran, Islamic Rep.</t>
  </si>
  <si>
    <t>GNB</t>
  </si>
  <si>
    <t>Guinea-Bissau</t>
  </si>
  <si>
    <t>GIN</t>
  </si>
  <si>
    <t>Guinea</t>
  </si>
  <si>
    <t>GUM</t>
  </si>
  <si>
    <t>Guam</t>
  </si>
  <si>
    <t>GRD</t>
  </si>
  <si>
    <t>Grenada</t>
  </si>
  <si>
    <t>GRL</t>
  </si>
  <si>
    <t>Greenland</t>
  </si>
  <si>
    <t>GIB</t>
  </si>
  <si>
    <t>Gibraltar</t>
  </si>
  <si>
    <t>GMB</t>
  </si>
  <si>
    <t>Gambia, The</t>
  </si>
  <si>
    <t>GAB</t>
  </si>
  <si>
    <t>Gabon</t>
  </si>
  <si>
    <t>PYF</t>
  </si>
  <si>
    <t>French Polynesia</t>
  </si>
  <si>
    <t>FRO</t>
  </si>
  <si>
    <t>Faroe Islands</t>
  </si>
  <si>
    <t>SWZ</t>
  </si>
  <si>
    <t>Eswatini</t>
  </si>
  <si>
    <t>ERI</t>
  </si>
  <si>
    <t>Eritrea</t>
  </si>
  <si>
    <t>GNQ</t>
  </si>
  <si>
    <t>Equatorial Guinea</t>
  </si>
  <si>
    <t>DMA</t>
  </si>
  <si>
    <t>Dominica</t>
  </si>
  <si>
    <t>DJI</t>
  </si>
  <si>
    <t>Djibouti</t>
  </si>
  <si>
    <t>CZE</t>
  </si>
  <si>
    <t>Czech Republic</t>
  </si>
  <si>
    <t>CYP</t>
  </si>
  <si>
    <t>Cyprus</t>
  </si>
  <si>
    <t>CUB</t>
  </si>
  <si>
    <t>Cuba</t>
  </si>
  <si>
    <t>COG</t>
  </si>
  <si>
    <t>Congo, Rep.</t>
  </si>
  <si>
    <t>COD</t>
  </si>
  <si>
    <t>Congo, Dem. Rep.</t>
  </si>
  <si>
    <t>COM</t>
  </si>
  <si>
    <t>Comoros</t>
  </si>
  <si>
    <t>CHI</t>
  </si>
  <si>
    <t>Channel Islands</t>
  </si>
  <si>
    <t>TCD</t>
  </si>
  <si>
    <t>Chad</t>
  </si>
  <si>
    <t>CAF</t>
  </si>
  <si>
    <t>Central African Republic</t>
  </si>
  <si>
    <t>CYM</t>
  </si>
  <si>
    <t>Cayman Islands</t>
  </si>
  <si>
    <t>CMR</t>
  </si>
  <si>
    <t>Cameroon</t>
  </si>
  <si>
    <t>BDI</t>
  </si>
  <si>
    <t>Burundi</t>
  </si>
  <si>
    <t>BFA</t>
  </si>
  <si>
    <t>Burkina Faso</t>
  </si>
  <si>
    <t>BRN</t>
  </si>
  <si>
    <t>Brunei Darussalam</t>
  </si>
  <si>
    <t>VGB</t>
  </si>
  <si>
    <t>British Virgin Islands</t>
  </si>
  <si>
    <t>BEN</t>
  </si>
  <si>
    <t>Benin</t>
  </si>
  <si>
    <t>BLZ</t>
  </si>
  <si>
    <t>Belize</t>
  </si>
  <si>
    <t>ABW</t>
  </si>
  <si>
    <t>Aruba</t>
  </si>
  <si>
    <t>ARM</t>
  </si>
  <si>
    <t>Armenia</t>
  </si>
  <si>
    <t>ATG</t>
  </si>
  <si>
    <t>Antigua and Barbuda</t>
  </si>
  <si>
    <t>AND</t>
  </si>
  <si>
    <t>Andorra</t>
  </si>
  <si>
    <t>ALB</t>
  </si>
  <si>
    <t>Albania</t>
  </si>
  <si>
    <t>DSS</t>
  </si>
  <si>
    <t>Sub-Saharan Africa (IDA total)</t>
  </si>
  <si>
    <t>DSA</t>
  </si>
  <si>
    <t>South Asia (IDA total)</t>
  </si>
  <si>
    <t>SID</t>
  </si>
  <si>
    <t>Small island developing states: UN classification</t>
  </si>
  <si>
    <t>DMN</t>
  </si>
  <si>
    <t>Middle East &amp; North Africa (IDA total)</t>
  </si>
  <si>
    <t>LDC</t>
  </si>
  <si>
    <t>Least developed countries: UN classification</t>
  </si>
  <si>
    <t>DLA</t>
  </si>
  <si>
    <t>Latin America &amp; Caribbean (IDA total)</t>
  </si>
  <si>
    <t>IDA</t>
  </si>
  <si>
    <t>IDA total</t>
  </si>
  <si>
    <t>IBD</t>
  </si>
  <si>
    <t>IBRD only</t>
  </si>
  <si>
    <t>DEC</t>
  </si>
  <si>
    <t>Europe &amp; Central Asia (IDA total)</t>
  </si>
  <si>
    <t>DEA</t>
  </si>
  <si>
    <t>East Asia &amp; Pacific (IDA total)</t>
  </si>
  <si>
    <t>2018 [YR2018]</t>
  </si>
  <si>
    <t>2017 [YR2017]</t>
  </si>
  <si>
    <t>2016 [YR2016]</t>
  </si>
  <si>
    <t>2015 [YR2015]</t>
  </si>
  <si>
    <t>2014 [YR2014]</t>
  </si>
  <si>
    <t>2013 [YR2013]</t>
  </si>
  <si>
    <t>2012 [YR2012]</t>
  </si>
  <si>
    <t>2000 [YR2000]</t>
  </si>
  <si>
    <t>1990 [YR1990]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</si>
</sst>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ehler" refreshedDate="45676.909522337963" createdVersion="8" refreshedVersion="8" minRefreshableVersion="3" recordCount="2193" xr:uid="{CBEF46BB-088C-40A3-8BBB-CF647E01A71D}">
  <cacheSource type="worksheet">
    <worksheetSource ref="A1:J2194" sheet="Country Survey Data"/>
  </cacheSource>
  <cacheFields count="10">
    <cacheField name="Country Name" numFmtId="0">
      <sharedItems count="129">
        <s v="Afghanistan"/>
        <s v="Algeria"/>
        <s v="Denmark"/>
        <s v="Ecuador"/>
        <s v="Angola"/>
        <s v="Argentina"/>
        <s v="Australia"/>
        <s v="Austria"/>
        <s v="Azerbaijan"/>
        <s v="Bahamas, The"/>
        <s v="Bahrain"/>
        <s v="Bangladesh"/>
        <s v="Barbados"/>
        <s v="Belarus"/>
        <s v="Belgium"/>
        <s v="Bermuda"/>
        <s v="Bhutan"/>
        <s v="Bolivia"/>
        <s v="Bosnia and Herzegovina"/>
        <s v="Botswana"/>
        <s v="Brazil"/>
        <s v="Bulgaria"/>
        <s v="Cabo Verde"/>
        <s v="Cambodia"/>
        <s v="Canada"/>
        <s v="Chile"/>
        <s v="China"/>
        <s v="Colombia"/>
        <s v="Costa Rica"/>
        <s v="Cote d'Ivoire"/>
        <s v="Croatia"/>
        <s v="Curacao"/>
        <s v="Dominican Republic"/>
        <s v="Egypt, Arab Rep."/>
        <s v="El Salvador"/>
        <s v="Estonia"/>
        <s v="Ethiopia"/>
        <s v="Fiji"/>
        <s v="Finland"/>
        <s v="France"/>
        <s v="Georgia"/>
        <s v="Germany"/>
        <s v="Ghana"/>
        <s v="Greece"/>
        <s v="Guatemala"/>
        <s v="Guyana"/>
        <s v="Haiti"/>
        <s v="Honduras"/>
        <s v="Hong Kong SAR, China"/>
        <s v="Hungary"/>
        <s v="Iceland"/>
        <s v="India"/>
        <s v="Indonesia"/>
        <s v="Iraq"/>
        <s v="Ireland"/>
        <s v="Israel"/>
        <s v="Italy"/>
        <s v="Jamaica"/>
        <s v="Japan"/>
        <s v="Jordan"/>
        <s v="Kazakhstan"/>
        <s v="Kenya"/>
        <s v="Korea, Rep."/>
        <s v="Kuwait"/>
        <s v="Kyrgyz Republic"/>
        <s v="Lao PDR"/>
        <s v="Latvia"/>
        <s v="Lebanon"/>
        <s v="Lesotho"/>
        <s v="Liberia"/>
        <s v="Lithuania"/>
        <s v="Luxembourg"/>
        <s v="Macao SAR, China"/>
        <s v="Malawi"/>
        <s v="Malaysia"/>
        <s v="Malta"/>
        <s v="Mauritius"/>
        <s v="Mexico"/>
        <s v="Moldova"/>
        <s v="Mongolia"/>
        <s v="Montenegro"/>
        <s v="Morocco"/>
        <s v="Mozambique"/>
        <s v="Myanmar"/>
        <s v="Namibia"/>
        <s v="Nepal"/>
        <s v="Netherlands"/>
        <s v="New Zealand"/>
        <s v="Nicaragua"/>
        <s v="Nigeria"/>
        <s v="North Macedonia"/>
        <s v="Norway"/>
        <s v="Oman"/>
        <s v="Pakistan"/>
        <s v="Panama"/>
        <s v="Paraguay"/>
        <s v="Peru"/>
        <s v="Philippines"/>
        <s v="Poland"/>
        <s v="Portugal"/>
        <s v="Qatar"/>
        <s v="Russian Federation"/>
        <s v="Rwanda"/>
        <s v="Romania"/>
        <s v="Saudi Arabia"/>
        <s v="Serbia"/>
        <s v="Singapore"/>
        <s v="Slovak Republic"/>
        <s v="Slovenia"/>
        <s v="South Africa"/>
        <s v="Spain"/>
        <s v="Sri Lanka"/>
        <s v="Switzerland"/>
        <s v="Sweden"/>
        <s v="Syrian Arab Republic"/>
        <s v="Tajikistan"/>
        <s v="Thailand"/>
        <s v="Tanzania"/>
        <s v="Trinidad and Tobago"/>
        <s v="Tunisia"/>
        <s v="Uganda"/>
        <s v="Ukraine"/>
        <s v="United Arab Emirates"/>
        <s v="United Kingdom"/>
        <s v="United States"/>
        <s v="Uruguay"/>
        <s v="Uzbekistan"/>
        <s v="Venezuela, RB"/>
        <s v="Zambia"/>
      </sharedItems>
    </cacheField>
    <cacheField name="Country Code" numFmtId="0">
      <sharedItems/>
    </cacheField>
    <cacheField name="Series Name" numFmtId="0">
      <sharedItems count="17">
        <s v="Account ownership at a financial institution or with a mobile-money-service provider (% of population ages 15+)"/>
        <s v="Account ownership at a financial institution or with a mobile-money-service provider, female (% of population ages 15+)"/>
        <s v="Account ownership at a financial institution or with a mobile-money-service provider, male (% of population ages 15+)"/>
        <s v="Account ownership at a financial institution or with a mobile-money-service provider, poorest 40% (% of population ages 15+)"/>
        <s v="Account ownership at a financial institution or with a mobile-money-service provider, young adults (% of population ages 15-24)"/>
        <s v="Account ownership at a financial institution or with a mobile-money-service provider, primary education or less (% of population ages 15+)"/>
        <s v="Average working hours of children, working only, ages 7-14 (hours per week)"/>
        <s v="Bribery incidence (% of firms experiencing at least one bribe payment request)"/>
        <s v="Business extent of disclosure index (0=less disclosure to 10=more disclosure)"/>
        <s v="Central government debt, total (% of GDP)"/>
        <s v="Compulsory education, duration (years)"/>
        <s v="Control of Corruption: Percentile Rank"/>
        <s v="Coverage of social safety net programs (% of population)"/>
        <s v="Coverage of social insurance programs in poorest quintile (% of population)"/>
        <s v="Survival to age 65, female (% of cohort)"/>
        <s v="Technicians in R&amp;D (per million people)"/>
        <s v="Time required to start a business (days)"/>
      </sharedItems>
    </cacheField>
    <cacheField name="Series Code" numFmtId="0">
      <sharedItems/>
    </cacheField>
    <cacheField name="2019 [YR2019]" numFmtId="0">
      <sharedItems containsString="0" containsBlank="1" containsNumber="1" minValue="0" maxValue="230"/>
    </cacheField>
    <cacheField name="2020 [YR2020]" numFmtId="0">
      <sharedItems containsString="0" containsBlank="1" containsNumber="1" minValue="0" maxValue="249.411353803704"/>
    </cacheField>
    <cacheField name="2021 [YR2021]" numFmtId="0">
      <sharedItems containsString="0" containsBlank="1" containsNumber="1" minValue="0.47619047760963401" maxValue="233.53697368464901"/>
    </cacheField>
    <cacheField name="2022 [YR2022]" numFmtId="0">
      <sharedItems containsString="0" containsBlank="1" containsNumber="1" minValue="0.94339621067047097" maxValue="216.21337545990301"/>
    </cacheField>
    <cacheField name="2023 [YR2023]" numFmtId="0">
      <sharedItems containsString="0" containsBlank="1" containsNumber="1" minValue="0" maxValue="138.193489848821"/>
    </cacheField>
    <cacheField name="Max" numFmtId="0">
      <sharedItems containsSemiMixedTypes="0" containsString="0" containsNumber="1" minValue="0" maxValue="249.4113538037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3">
  <r>
    <x v="0"/>
    <s v="AFG"/>
    <x v="0"/>
    <s v="FX.OWN.TOTL.ZS"/>
    <m/>
    <m/>
    <n v="9.65"/>
    <m/>
    <m/>
    <n v="9.65"/>
  </r>
  <r>
    <x v="0"/>
    <s v="AFG"/>
    <x v="1"/>
    <s v="FX.OWN.TOTL.FE.ZS"/>
    <m/>
    <m/>
    <n v="4.7"/>
    <m/>
    <m/>
    <n v="4.7"/>
  </r>
  <r>
    <x v="0"/>
    <s v="AFG"/>
    <x v="2"/>
    <s v="FX.OWN.TOTL.MA.ZS"/>
    <m/>
    <m/>
    <n v="14.79"/>
    <m/>
    <m/>
    <n v="14.79"/>
  </r>
  <r>
    <x v="0"/>
    <s v="AFG"/>
    <x v="3"/>
    <s v="FX.OWN.TOTL.40.ZS"/>
    <m/>
    <m/>
    <n v="5.86"/>
    <m/>
    <m/>
    <n v="5.86"/>
  </r>
  <r>
    <x v="0"/>
    <s v="AFG"/>
    <x v="4"/>
    <s v="FX.OWN.TOTL.YG.ZS"/>
    <m/>
    <m/>
    <n v="7.55"/>
    <m/>
    <m/>
    <n v="7.55"/>
  </r>
  <r>
    <x v="0"/>
    <s v="AFG"/>
    <x v="5"/>
    <s v="FX.OWN.TOTL.PL.ZS"/>
    <m/>
    <m/>
    <n v="5.18"/>
    <m/>
    <m/>
    <n v="5.18"/>
  </r>
  <r>
    <x v="0"/>
    <s v="AFG"/>
    <x v="6"/>
    <s v="SL.TLF.0714.WK.TM"/>
    <m/>
    <m/>
    <m/>
    <m/>
    <m/>
    <n v="0"/>
  </r>
  <r>
    <x v="0"/>
    <s v="AFG"/>
    <x v="7"/>
    <s v="IC.FRM.BRIB.ZS"/>
    <m/>
    <m/>
    <m/>
    <m/>
    <m/>
    <n v="0"/>
  </r>
  <r>
    <x v="0"/>
    <s v="AFG"/>
    <x v="8"/>
    <s v="IC.BUS.DISC.XQ"/>
    <n v="8"/>
    <m/>
    <m/>
    <m/>
    <m/>
    <n v="8"/>
  </r>
  <r>
    <x v="0"/>
    <s v="AFG"/>
    <x v="9"/>
    <s v="GC.DOD.TOTL.GD.ZS"/>
    <m/>
    <m/>
    <m/>
    <m/>
    <m/>
    <n v="0"/>
  </r>
  <r>
    <x v="0"/>
    <s v="AFG"/>
    <x v="10"/>
    <s v="SE.COM.DURS"/>
    <n v="9"/>
    <n v="9"/>
    <n v="9"/>
    <n v="9"/>
    <n v="9"/>
    <n v="9"/>
  </r>
  <r>
    <x v="0"/>
    <s v="AFG"/>
    <x v="11"/>
    <s v="CC.PER.RNK"/>
    <n v="5.7142858505248997"/>
    <n v="4.7619047164917001"/>
    <n v="12.380952835083001"/>
    <n v="12.2641506195068"/>
    <n v="13.6792449951172"/>
    <n v="13.6792449951172"/>
  </r>
  <r>
    <x v="0"/>
    <s v="AFG"/>
    <x v="12"/>
    <s v="per_sa_allsa.cov_pop_tot"/>
    <m/>
    <m/>
    <m/>
    <m/>
    <m/>
    <n v="0"/>
  </r>
  <r>
    <x v="0"/>
    <s v="AFG"/>
    <x v="13"/>
    <s v="per_si_allsi.cov_q1_tot"/>
    <m/>
    <m/>
    <m/>
    <m/>
    <m/>
    <n v="0"/>
  </r>
  <r>
    <x v="0"/>
    <s v="AFG"/>
    <x v="14"/>
    <s v="SP.DYN.TO65.FE.ZS"/>
    <n v="67.952078"/>
    <n v="64.471496000000002"/>
    <n v="62.671880000000002"/>
    <n v="69.906777000000005"/>
    <m/>
    <n v="69.906777000000005"/>
  </r>
  <r>
    <x v="0"/>
    <s v="AFG"/>
    <x v="15"/>
    <s v="SP.POP.TECH.RD.P6"/>
    <m/>
    <m/>
    <m/>
    <m/>
    <m/>
    <n v="0"/>
  </r>
  <r>
    <x v="0"/>
    <s v="AFG"/>
    <x v="16"/>
    <s v="IC.REG.DURS"/>
    <n v="8.5"/>
    <m/>
    <m/>
    <m/>
    <m/>
    <n v="8.5"/>
  </r>
  <r>
    <x v="1"/>
    <s v="DZA"/>
    <x v="0"/>
    <s v="FX.OWN.TOTL.ZS"/>
    <m/>
    <m/>
    <n v="44.1"/>
    <m/>
    <m/>
    <n v="44.1"/>
  </r>
  <r>
    <x v="1"/>
    <s v="DZA"/>
    <x v="1"/>
    <s v="FX.OWN.TOTL.FE.ZS"/>
    <m/>
    <m/>
    <n v="31.19"/>
    <m/>
    <m/>
    <n v="31.19"/>
  </r>
  <r>
    <x v="1"/>
    <s v="DZA"/>
    <x v="2"/>
    <s v="FX.OWN.TOTL.MA.ZS"/>
    <m/>
    <m/>
    <n v="56.83"/>
    <m/>
    <m/>
    <n v="56.83"/>
  </r>
  <r>
    <x v="1"/>
    <s v="DZA"/>
    <x v="3"/>
    <s v="FX.OWN.TOTL.40.ZS"/>
    <m/>
    <m/>
    <n v="31.91"/>
    <m/>
    <m/>
    <n v="31.91"/>
  </r>
  <r>
    <x v="1"/>
    <s v="DZA"/>
    <x v="4"/>
    <s v="FX.OWN.TOTL.YG.ZS"/>
    <m/>
    <m/>
    <n v="26.72"/>
    <m/>
    <m/>
    <n v="26.72"/>
  </r>
  <r>
    <x v="1"/>
    <s v="DZA"/>
    <x v="5"/>
    <s v="FX.OWN.TOTL.PL.ZS"/>
    <m/>
    <m/>
    <n v="38.99"/>
    <m/>
    <m/>
    <n v="38.99"/>
  </r>
  <r>
    <x v="1"/>
    <s v="DZA"/>
    <x v="6"/>
    <s v="SL.TLF.0714.WK.TM"/>
    <m/>
    <m/>
    <m/>
    <m/>
    <m/>
    <n v="0"/>
  </r>
  <r>
    <x v="1"/>
    <s v="DZA"/>
    <x v="7"/>
    <s v="IC.FRM.BRIB.ZS"/>
    <m/>
    <m/>
    <m/>
    <m/>
    <m/>
    <n v="0"/>
  </r>
  <r>
    <x v="1"/>
    <s v="DZA"/>
    <x v="8"/>
    <s v="IC.BUS.DISC.XQ"/>
    <n v="4"/>
    <m/>
    <m/>
    <m/>
    <m/>
    <n v="4"/>
  </r>
  <r>
    <x v="1"/>
    <s v="DZA"/>
    <x v="9"/>
    <s v="GC.DOD.TOTL.GD.ZS"/>
    <m/>
    <m/>
    <m/>
    <m/>
    <m/>
    <n v="0"/>
  </r>
  <r>
    <x v="1"/>
    <s v="DZA"/>
    <x v="10"/>
    <s v="SE.COM.DURS"/>
    <n v="10"/>
    <n v="10"/>
    <n v="10"/>
    <n v="10"/>
    <n v="10"/>
    <n v="10"/>
  </r>
  <r>
    <x v="1"/>
    <s v="DZA"/>
    <x v="11"/>
    <s v="CC.PER.RNK"/>
    <n v="28.095237731933601"/>
    <n v="27.619047164916999"/>
    <n v="29.523809432983398"/>
    <n v="27.8301887512207"/>
    <n v="30.188678741455099"/>
    <n v="30.188678741455099"/>
  </r>
  <r>
    <x v="1"/>
    <s v="DZA"/>
    <x v="12"/>
    <s v="per_sa_allsa.cov_pop_tot"/>
    <m/>
    <m/>
    <m/>
    <m/>
    <m/>
    <n v="0"/>
  </r>
  <r>
    <x v="1"/>
    <s v="DZA"/>
    <x v="13"/>
    <s v="per_si_allsi.cov_q1_tot"/>
    <m/>
    <m/>
    <m/>
    <m/>
    <m/>
    <n v="0"/>
  </r>
  <r>
    <x v="1"/>
    <s v="DZA"/>
    <x v="14"/>
    <s v="SP.DYN.TO65.FE.ZS"/>
    <n v="86.581483000000006"/>
    <n v="83.900668999999994"/>
    <n v="85.956711999999996"/>
    <n v="87.509843000000004"/>
    <m/>
    <n v="87.509843000000004"/>
  </r>
  <r>
    <x v="1"/>
    <s v="DZA"/>
    <x v="15"/>
    <s v="SP.POP.TECH.RD.P6"/>
    <m/>
    <m/>
    <m/>
    <m/>
    <m/>
    <n v="0"/>
  </r>
  <r>
    <x v="1"/>
    <s v="DZA"/>
    <x v="16"/>
    <s v="IC.REG.DURS"/>
    <n v="18"/>
    <m/>
    <m/>
    <m/>
    <m/>
    <n v="18"/>
  </r>
  <r>
    <x v="2"/>
    <s v="DNK"/>
    <x v="0"/>
    <s v="FX.OWN.TOTL.ZS"/>
    <m/>
    <m/>
    <n v="100"/>
    <m/>
    <m/>
    <n v="100"/>
  </r>
  <r>
    <x v="2"/>
    <s v="DNK"/>
    <x v="1"/>
    <s v="FX.OWN.TOTL.FE.ZS"/>
    <m/>
    <m/>
    <n v="100"/>
    <m/>
    <m/>
    <n v="100"/>
  </r>
  <r>
    <x v="2"/>
    <s v="DNK"/>
    <x v="2"/>
    <s v="FX.OWN.TOTL.MA.ZS"/>
    <m/>
    <m/>
    <n v="100"/>
    <m/>
    <m/>
    <n v="100"/>
  </r>
  <r>
    <x v="2"/>
    <s v="DNK"/>
    <x v="3"/>
    <s v="FX.OWN.TOTL.40.ZS"/>
    <m/>
    <m/>
    <n v="100"/>
    <m/>
    <m/>
    <n v="100"/>
  </r>
  <r>
    <x v="2"/>
    <s v="DNK"/>
    <x v="4"/>
    <s v="FX.OWN.TOTL.YG.ZS"/>
    <m/>
    <m/>
    <n v="100"/>
    <m/>
    <m/>
    <n v="100"/>
  </r>
  <r>
    <x v="2"/>
    <s v="DNK"/>
    <x v="5"/>
    <s v="FX.OWN.TOTL.PL.ZS"/>
    <m/>
    <m/>
    <n v="100"/>
    <m/>
    <m/>
    <n v="100"/>
  </r>
  <r>
    <x v="2"/>
    <s v="DNK"/>
    <x v="6"/>
    <s v="SL.TLF.0714.WK.TM"/>
    <m/>
    <m/>
    <m/>
    <m/>
    <m/>
    <n v="0"/>
  </r>
  <r>
    <x v="2"/>
    <s v="DNK"/>
    <x v="7"/>
    <s v="IC.FRM.BRIB.ZS"/>
    <m/>
    <n v="3.4"/>
    <m/>
    <m/>
    <m/>
    <n v="3.4"/>
  </r>
  <r>
    <x v="2"/>
    <s v="DNK"/>
    <x v="8"/>
    <s v="IC.BUS.DISC.XQ"/>
    <n v="7"/>
    <m/>
    <m/>
    <m/>
    <m/>
    <n v="7"/>
  </r>
  <r>
    <x v="2"/>
    <s v="DNK"/>
    <x v="9"/>
    <s v="GC.DOD.TOTL.GD.ZS"/>
    <m/>
    <m/>
    <m/>
    <m/>
    <m/>
    <n v="0"/>
  </r>
  <r>
    <x v="2"/>
    <s v="DNK"/>
    <x v="10"/>
    <s v="SE.COM.DURS"/>
    <n v="10"/>
    <n v="10"/>
    <n v="10"/>
    <n v="10"/>
    <n v="10"/>
    <n v="10"/>
  </r>
  <r>
    <x v="2"/>
    <s v="DNK"/>
    <x v="11"/>
    <s v="CC.PER.RNK"/>
    <n v="99.523811340332003"/>
    <n v="100"/>
    <n v="100"/>
    <n v="100"/>
    <n v="100"/>
    <n v="100"/>
  </r>
  <r>
    <x v="2"/>
    <s v="DNK"/>
    <x v="12"/>
    <s v="per_sa_allsa.cov_pop_tot"/>
    <m/>
    <m/>
    <m/>
    <m/>
    <m/>
    <n v="0"/>
  </r>
  <r>
    <x v="2"/>
    <s v="DNK"/>
    <x v="13"/>
    <s v="per_si_allsi.cov_q1_tot"/>
    <m/>
    <m/>
    <m/>
    <m/>
    <m/>
    <n v="0"/>
  </r>
  <r>
    <x v="2"/>
    <s v="DNK"/>
    <x v="14"/>
    <s v="SP.DYN.TO65.FE.ZS"/>
    <n v="92.189131000000003"/>
    <n v="92.233914999999996"/>
    <n v="92.241820000000004"/>
    <n v="92.531153000000003"/>
    <m/>
    <n v="92.531153000000003"/>
  </r>
  <r>
    <x v="2"/>
    <s v="DNK"/>
    <x v="15"/>
    <s v="SP.POP.TECH.RD.P6"/>
    <m/>
    <m/>
    <m/>
    <m/>
    <m/>
    <n v="0"/>
  </r>
  <r>
    <x v="2"/>
    <s v="DNK"/>
    <x v="16"/>
    <s v="IC.REG.DURS"/>
    <n v="3.5"/>
    <m/>
    <m/>
    <m/>
    <m/>
    <n v="3.5"/>
  </r>
  <r>
    <x v="3"/>
    <s v="ECU"/>
    <x v="0"/>
    <s v="FX.OWN.TOTL.ZS"/>
    <m/>
    <m/>
    <n v="64.180000000000007"/>
    <m/>
    <m/>
    <n v="64.180000000000007"/>
  </r>
  <r>
    <x v="3"/>
    <s v="ECU"/>
    <x v="1"/>
    <s v="FX.OWN.TOTL.FE.ZS"/>
    <m/>
    <m/>
    <n v="57.95"/>
    <m/>
    <m/>
    <n v="57.95"/>
  </r>
  <r>
    <x v="3"/>
    <s v="ECU"/>
    <x v="2"/>
    <s v="FX.OWN.TOTL.MA.ZS"/>
    <m/>
    <m/>
    <n v="70.59"/>
    <m/>
    <m/>
    <n v="70.59"/>
  </r>
  <r>
    <x v="3"/>
    <s v="ECU"/>
    <x v="3"/>
    <s v="FX.OWN.TOTL.40.ZS"/>
    <m/>
    <m/>
    <n v="59.15"/>
    <m/>
    <m/>
    <n v="59.15"/>
  </r>
  <r>
    <x v="3"/>
    <s v="ECU"/>
    <x v="4"/>
    <s v="FX.OWN.TOTL.YG.ZS"/>
    <m/>
    <m/>
    <n v="54.54"/>
    <m/>
    <m/>
    <n v="54.54"/>
  </r>
  <r>
    <x v="3"/>
    <s v="ECU"/>
    <x v="5"/>
    <s v="FX.OWN.TOTL.PL.ZS"/>
    <m/>
    <m/>
    <n v="60.21"/>
    <m/>
    <m/>
    <n v="60.21"/>
  </r>
  <r>
    <x v="3"/>
    <s v="ECU"/>
    <x v="6"/>
    <s v="SL.TLF.0714.WK.TM"/>
    <m/>
    <m/>
    <m/>
    <m/>
    <m/>
    <n v="0"/>
  </r>
  <r>
    <x v="3"/>
    <s v="ECU"/>
    <x v="7"/>
    <s v="IC.FRM.BRIB.ZS"/>
    <m/>
    <m/>
    <m/>
    <m/>
    <m/>
    <n v="0"/>
  </r>
  <r>
    <x v="3"/>
    <s v="ECU"/>
    <x v="8"/>
    <s v="IC.BUS.DISC.XQ"/>
    <n v="2"/>
    <m/>
    <m/>
    <m/>
    <m/>
    <n v="2"/>
  </r>
  <r>
    <x v="3"/>
    <s v="ECU"/>
    <x v="9"/>
    <s v="GC.DOD.TOTL.GD.ZS"/>
    <m/>
    <m/>
    <m/>
    <m/>
    <m/>
    <n v="0"/>
  </r>
  <r>
    <x v="3"/>
    <s v="ECU"/>
    <x v="10"/>
    <s v="SE.COM.DURS"/>
    <n v="15"/>
    <n v="15"/>
    <n v="15"/>
    <n v="15"/>
    <n v="15"/>
    <n v="15"/>
  </r>
  <r>
    <x v="3"/>
    <s v="ECU"/>
    <x v="11"/>
    <s v="CC.PER.RNK"/>
    <n v="34.761905670166001"/>
    <n v="33.809524536132798"/>
    <n v="30"/>
    <n v="29.716981887817401"/>
    <n v="27.8301887512207"/>
    <n v="34.761905670166001"/>
  </r>
  <r>
    <x v="3"/>
    <s v="ECU"/>
    <x v="12"/>
    <s v="per_sa_allsa.cov_pop_tot"/>
    <n v="20.741443145838598"/>
    <n v="35.180797160643003"/>
    <m/>
    <m/>
    <m/>
    <n v="35.180797160643003"/>
  </r>
  <r>
    <x v="3"/>
    <s v="ECU"/>
    <x v="13"/>
    <s v="per_si_allsi.cov_q1_tot"/>
    <n v="4.1750803061073096"/>
    <n v="3.2254007993838099"/>
    <m/>
    <m/>
    <m/>
    <n v="4.1750803061073096"/>
  </r>
  <r>
    <x v="3"/>
    <s v="ECU"/>
    <x v="14"/>
    <s v="SP.DYN.TO65.FE.ZS"/>
    <n v="86.675416999999996"/>
    <n v="81.069979000000004"/>
    <n v="81.591718"/>
    <n v="85.934971000000004"/>
    <m/>
    <n v="86.675416999999996"/>
  </r>
  <r>
    <x v="3"/>
    <s v="ECU"/>
    <x v="15"/>
    <s v="SP.POP.TECH.RD.P6"/>
    <m/>
    <m/>
    <m/>
    <m/>
    <m/>
    <n v="0"/>
  </r>
  <r>
    <x v="3"/>
    <s v="ECU"/>
    <x v="16"/>
    <s v="IC.REG.DURS"/>
    <n v="48.5"/>
    <m/>
    <m/>
    <m/>
    <m/>
    <n v="48.5"/>
  </r>
  <r>
    <x v="4"/>
    <s v="AGO"/>
    <x v="0"/>
    <s v="FX.OWN.TOTL.ZS"/>
    <m/>
    <m/>
    <m/>
    <m/>
    <m/>
    <n v="0"/>
  </r>
  <r>
    <x v="4"/>
    <s v="AGO"/>
    <x v="1"/>
    <s v="FX.OWN.TOTL.FE.ZS"/>
    <m/>
    <m/>
    <m/>
    <m/>
    <m/>
    <n v="0"/>
  </r>
  <r>
    <x v="4"/>
    <s v="AGO"/>
    <x v="2"/>
    <s v="FX.OWN.TOTL.MA.ZS"/>
    <m/>
    <m/>
    <m/>
    <m/>
    <m/>
    <n v="0"/>
  </r>
  <r>
    <x v="4"/>
    <s v="AGO"/>
    <x v="3"/>
    <s v="FX.OWN.TOTL.40.ZS"/>
    <m/>
    <m/>
    <m/>
    <m/>
    <m/>
    <n v="0"/>
  </r>
  <r>
    <x v="4"/>
    <s v="AGO"/>
    <x v="4"/>
    <s v="FX.OWN.TOTL.YG.ZS"/>
    <m/>
    <m/>
    <m/>
    <m/>
    <m/>
    <n v="0"/>
  </r>
  <r>
    <x v="4"/>
    <s v="AGO"/>
    <x v="5"/>
    <s v="FX.OWN.TOTL.PL.ZS"/>
    <m/>
    <m/>
    <m/>
    <m/>
    <m/>
    <n v="0"/>
  </r>
  <r>
    <x v="4"/>
    <s v="AGO"/>
    <x v="6"/>
    <s v="SL.TLF.0714.WK.TM"/>
    <m/>
    <m/>
    <m/>
    <m/>
    <m/>
    <n v="0"/>
  </r>
  <r>
    <x v="4"/>
    <s v="AGO"/>
    <x v="7"/>
    <s v="IC.FRM.BRIB.ZS"/>
    <m/>
    <m/>
    <m/>
    <m/>
    <m/>
    <n v="0"/>
  </r>
  <r>
    <x v="4"/>
    <s v="AGO"/>
    <x v="8"/>
    <s v="IC.BUS.DISC.XQ"/>
    <n v="4"/>
    <m/>
    <m/>
    <m/>
    <m/>
    <n v="4"/>
  </r>
  <r>
    <x v="4"/>
    <s v="AGO"/>
    <x v="9"/>
    <s v="GC.DOD.TOTL.GD.ZS"/>
    <m/>
    <m/>
    <m/>
    <m/>
    <m/>
    <n v="0"/>
  </r>
  <r>
    <x v="4"/>
    <s v="AGO"/>
    <x v="10"/>
    <s v="SE.COM.DURS"/>
    <n v="10"/>
    <n v="10"/>
    <n v="10"/>
    <n v="10"/>
    <n v="10"/>
    <n v="10"/>
  </r>
  <r>
    <x v="4"/>
    <s v="AGO"/>
    <x v="11"/>
    <s v="CC.PER.RNK"/>
    <n v="14.285714149475099"/>
    <n v="18.571428298950199"/>
    <n v="29.0476188659668"/>
    <n v="30.188678741455099"/>
    <n v="29.245283126831101"/>
    <n v="30.188678741455099"/>
  </r>
  <r>
    <x v="4"/>
    <s v="AGO"/>
    <x v="12"/>
    <s v="per_sa_allsa.cov_pop_tot"/>
    <m/>
    <m/>
    <m/>
    <m/>
    <m/>
    <n v="0"/>
  </r>
  <r>
    <x v="4"/>
    <s v="AGO"/>
    <x v="13"/>
    <s v="per_si_allsi.cov_q1_tot"/>
    <m/>
    <m/>
    <m/>
    <m/>
    <m/>
    <n v="0"/>
  </r>
  <r>
    <x v="4"/>
    <s v="AGO"/>
    <x v="14"/>
    <s v="SP.DYN.TO65.FE.ZS"/>
    <n v="66.647722000000002"/>
    <n v="66.934316999999993"/>
    <n v="65.482669999999999"/>
    <n v="68.636516"/>
    <m/>
    <n v="68.636516"/>
  </r>
  <r>
    <x v="4"/>
    <s v="AGO"/>
    <x v="15"/>
    <s v="SP.POP.TECH.RD.P6"/>
    <m/>
    <m/>
    <m/>
    <m/>
    <m/>
    <n v="0"/>
  </r>
  <r>
    <x v="4"/>
    <s v="AGO"/>
    <x v="16"/>
    <s v="IC.REG.DURS"/>
    <n v="36"/>
    <m/>
    <m/>
    <m/>
    <m/>
    <n v="36"/>
  </r>
  <r>
    <x v="5"/>
    <s v="ARG"/>
    <x v="0"/>
    <s v="FX.OWN.TOTL.ZS"/>
    <m/>
    <m/>
    <n v="71.63"/>
    <m/>
    <m/>
    <n v="71.63"/>
  </r>
  <r>
    <x v="5"/>
    <s v="ARG"/>
    <x v="1"/>
    <s v="FX.OWN.TOTL.FE.ZS"/>
    <m/>
    <m/>
    <n v="73.75"/>
    <m/>
    <m/>
    <n v="73.75"/>
  </r>
  <r>
    <x v="5"/>
    <s v="ARG"/>
    <x v="2"/>
    <s v="FX.OWN.TOTL.MA.ZS"/>
    <m/>
    <m/>
    <n v="69.56"/>
    <m/>
    <m/>
    <n v="69.56"/>
  </r>
  <r>
    <x v="5"/>
    <s v="ARG"/>
    <x v="3"/>
    <s v="FX.OWN.TOTL.40.ZS"/>
    <m/>
    <m/>
    <n v="65.23"/>
    <m/>
    <m/>
    <n v="65.23"/>
  </r>
  <r>
    <x v="5"/>
    <s v="ARG"/>
    <x v="4"/>
    <s v="FX.OWN.TOTL.YG.ZS"/>
    <m/>
    <m/>
    <n v="75.37"/>
    <m/>
    <m/>
    <n v="75.37"/>
  </r>
  <r>
    <x v="5"/>
    <s v="ARG"/>
    <x v="5"/>
    <s v="FX.OWN.TOTL.PL.ZS"/>
    <m/>
    <m/>
    <n v="57.1"/>
    <m/>
    <m/>
    <n v="57.1"/>
  </r>
  <r>
    <x v="5"/>
    <s v="ARG"/>
    <x v="6"/>
    <s v="SL.TLF.0714.WK.TM"/>
    <m/>
    <m/>
    <m/>
    <m/>
    <m/>
    <n v="0"/>
  </r>
  <r>
    <x v="5"/>
    <s v="ARG"/>
    <x v="7"/>
    <s v="IC.FRM.BRIB.ZS"/>
    <m/>
    <m/>
    <m/>
    <m/>
    <m/>
    <n v="0"/>
  </r>
  <r>
    <x v="5"/>
    <s v="ARG"/>
    <x v="8"/>
    <s v="IC.BUS.DISC.XQ"/>
    <n v="7"/>
    <m/>
    <m/>
    <m/>
    <m/>
    <n v="7"/>
  </r>
  <r>
    <x v="5"/>
    <s v="ARG"/>
    <x v="9"/>
    <s v="GC.DOD.TOTL.GD.ZS"/>
    <m/>
    <m/>
    <m/>
    <m/>
    <m/>
    <n v="0"/>
  </r>
  <r>
    <x v="5"/>
    <s v="ARG"/>
    <x v="10"/>
    <s v="SE.COM.DURS"/>
    <n v="14"/>
    <n v="14"/>
    <n v="14"/>
    <n v="14"/>
    <n v="14"/>
    <n v="14"/>
  </r>
  <r>
    <x v="5"/>
    <s v="ARG"/>
    <x v="11"/>
    <s v="CC.PER.RNK"/>
    <n v="52.857143402099602"/>
    <n v="47.619049072265597"/>
    <n v="37.619049072265597"/>
    <n v="36.320755004882798"/>
    <n v="41.981132507324197"/>
    <n v="52.857143402099602"/>
  </r>
  <r>
    <x v="5"/>
    <s v="ARG"/>
    <x v="12"/>
    <s v="per_sa_allsa.cov_pop_tot"/>
    <n v="26.316877756672199"/>
    <n v="41.3987285647448"/>
    <n v="30.167545781570801"/>
    <m/>
    <m/>
    <n v="41.3987285647448"/>
  </r>
  <r>
    <x v="5"/>
    <s v="ARG"/>
    <x v="13"/>
    <s v="per_si_allsi.cov_q1_tot"/>
    <n v="21.880785237053701"/>
    <n v="16.7771161135794"/>
    <n v="21.122196411149801"/>
    <m/>
    <m/>
    <n v="21.880785237053701"/>
  </r>
  <r>
    <x v="5"/>
    <s v="ARG"/>
    <x v="14"/>
    <s v="SP.DYN.TO65.FE.ZS"/>
    <n v="86.163347000000002"/>
    <n v="85.155113"/>
    <n v="81.719120000000004"/>
    <n v="85.337053999999995"/>
    <m/>
    <n v="86.163347000000002"/>
  </r>
  <r>
    <x v="5"/>
    <s v="ARG"/>
    <x v="15"/>
    <s v="SP.POP.TECH.RD.P6"/>
    <m/>
    <m/>
    <m/>
    <m/>
    <m/>
    <n v="0"/>
  </r>
  <r>
    <x v="5"/>
    <s v="ARG"/>
    <x v="16"/>
    <s v="IC.REG.DURS"/>
    <n v="11.5"/>
    <m/>
    <m/>
    <m/>
    <m/>
    <n v="11.5"/>
  </r>
  <r>
    <x v="6"/>
    <s v="AUS"/>
    <x v="0"/>
    <s v="FX.OWN.TOTL.ZS"/>
    <m/>
    <m/>
    <n v="99.32"/>
    <m/>
    <m/>
    <n v="99.32"/>
  </r>
  <r>
    <x v="6"/>
    <s v="AUS"/>
    <x v="1"/>
    <s v="FX.OWN.TOTL.FE.ZS"/>
    <m/>
    <m/>
    <n v="100"/>
    <m/>
    <m/>
    <n v="100"/>
  </r>
  <r>
    <x v="6"/>
    <s v="AUS"/>
    <x v="2"/>
    <s v="FX.OWN.TOTL.MA.ZS"/>
    <m/>
    <m/>
    <n v="98.59"/>
    <m/>
    <m/>
    <n v="98.59"/>
  </r>
  <r>
    <x v="6"/>
    <s v="AUS"/>
    <x v="3"/>
    <s v="FX.OWN.TOTL.40.ZS"/>
    <m/>
    <m/>
    <n v="98.3"/>
    <m/>
    <m/>
    <n v="98.3"/>
  </r>
  <r>
    <x v="6"/>
    <s v="AUS"/>
    <x v="4"/>
    <s v="FX.OWN.TOTL.YG.ZS"/>
    <m/>
    <m/>
    <n v="100"/>
    <m/>
    <m/>
    <n v="100"/>
  </r>
  <r>
    <x v="6"/>
    <s v="AUS"/>
    <x v="5"/>
    <s v="FX.OWN.TOTL.PL.ZS"/>
    <m/>
    <m/>
    <n v="86.48"/>
    <m/>
    <m/>
    <n v="86.48"/>
  </r>
  <r>
    <x v="6"/>
    <s v="AUS"/>
    <x v="6"/>
    <s v="SL.TLF.0714.WK.TM"/>
    <m/>
    <m/>
    <m/>
    <m/>
    <m/>
    <n v="0"/>
  </r>
  <r>
    <x v="6"/>
    <s v="AUS"/>
    <x v="7"/>
    <s v="IC.FRM.BRIB.ZS"/>
    <m/>
    <m/>
    <m/>
    <m/>
    <m/>
    <n v="0"/>
  </r>
  <r>
    <x v="6"/>
    <s v="AUS"/>
    <x v="8"/>
    <s v="IC.BUS.DISC.XQ"/>
    <n v="8"/>
    <m/>
    <m/>
    <m/>
    <m/>
    <n v="8"/>
  </r>
  <r>
    <x v="6"/>
    <s v="AUS"/>
    <x v="9"/>
    <s v="GC.DOD.TOTL.GD.ZS"/>
    <n v="60.226085197135099"/>
    <n v="69.321574859095605"/>
    <n v="70.010911765241701"/>
    <n v="58.0466964106785"/>
    <m/>
    <n v="70.010911765241701"/>
  </r>
  <r>
    <x v="6"/>
    <s v="AUS"/>
    <x v="10"/>
    <s v="SE.COM.DURS"/>
    <n v="11"/>
    <n v="11"/>
    <n v="11"/>
    <n v="11"/>
    <n v="11"/>
    <n v="11"/>
  </r>
  <r>
    <x v="6"/>
    <s v="AUS"/>
    <x v="11"/>
    <s v="CC.PER.RNK"/>
    <n v="94.761901855468807"/>
    <n v="93.809524536132798"/>
    <n v="94.761901855468807"/>
    <n v="95.283020019531193"/>
    <n v="95.754714965820298"/>
    <n v="95.754714965820298"/>
  </r>
  <r>
    <x v="6"/>
    <s v="AUS"/>
    <x v="12"/>
    <s v="per_sa_allsa.cov_pop_tot"/>
    <m/>
    <m/>
    <m/>
    <m/>
    <m/>
    <n v="0"/>
  </r>
  <r>
    <x v="6"/>
    <s v="AUS"/>
    <x v="13"/>
    <s v="per_si_allsi.cov_q1_tot"/>
    <m/>
    <m/>
    <m/>
    <m/>
    <m/>
    <n v="0"/>
  </r>
  <r>
    <x v="6"/>
    <s v="AUS"/>
    <x v="14"/>
    <s v="SP.DYN.TO65.FE.ZS"/>
    <n v="93.269492"/>
    <n v="93.408546999999999"/>
    <n v="93.331624000000005"/>
    <n v="92.391570000000002"/>
    <m/>
    <n v="93.408546999999999"/>
  </r>
  <r>
    <x v="6"/>
    <s v="AUS"/>
    <x v="15"/>
    <s v="SP.POP.TECH.RD.P6"/>
    <m/>
    <m/>
    <m/>
    <m/>
    <m/>
    <n v="0"/>
  </r>
  <r>
    <x v="6"/>
    <s v="AUS"/>
    <x v="16"/>
    <s v="IC.REG.DURS"/>
    <n v="2"/>
    <m/>
    <m/>
    <m/>
    <m/>
    <n v="2"/>
  </r>
  <r>
    <x v="7"/>
    <s v="AUT"/>
    <x v="0"/>
    <s v="FX.OWN.TOTL.ZS"/>
    <m/>
    <m/>
    <n v="99.95"/>
    <m/>
    <m/>
    <n v="99.95"/>
  </r>
  <r>
    <x v="7"/>
    <s v="AUT"/>
    <x v="1"/>
    <s v="FX.OWN.TOTL.FE.ZS"/>
    <m/>
    <m/>
    <n v="100"/>
    <m/>
    <m/>
    <n v="100"/>
  </r>
  <r>
    <x v="7"/>
    <s v="AUT"/>
    <x v="2"/>
    <s v="FX.OWN.TOTL.MA.ZS"/>
    <m/>
    <m/>
    <n v="99.9"/>
    <m/>
    <m/>
    <n v="99.9"/>
  </r>
  <r>
    <x v="7"/>
    <s v="AUT"/>
    <x v="3"/>
    <s v="FX.OWN.TOTL.40.ZS"/>
    <m/>
    <m/>
    <n v="100"/>
    <m/>
    <m/>
    <n v="100"/>
  </r>
  <r>
    <x v="7"/>
    <s v="AUT"/>
    <x v="4"/>
    <s v="FX.OWN.TOTL.YG.ZS"/>
    <m/>
    <m/>
    <n v="100"/>
    <m/>
    <m/>
    <n v="100"/>
  </r>
  <r>
    <x v="7"/>
    <s v="AUT"/>
    <x v="5"/>
    <s v="FX.OWN.TOTL.PL.ZS"/>
    <m/>
    <m/>
    <n v="100"/>
    <m/>
    <m/>
    <n v="100"/>
  </r>
  <r>
    <x v="7"/>
    <s v="AUT"/>
    <x v="6"/>
    <s v="SL.TLF.0714.WK.TM"/>
    <m/>
    <m/>
    <m/>
    <m/>
    <m/>
    <n v="0"/>
  </r>
  <r>
    <x v="7"/>
    <s v="AUT"/>
    <x v="7"/>
    <s v="IC.FRM.BRIB.ZS"/>
    <m/>
    <m/>
    <n v="1.3"/>
    <m/>
    <m/>
    <n v="1.3"/>
  </r>
  <r>
    <x v="7"/>
    <s v="AUT"/>
    <x v="8"/>
    <s v="IC.BUS.DISC.XQ"/>
    <n v="5"/>
    <m/>
    <m/>
    <m/>
    <m/>
    <n v="5"/>
  </r>
  <r>
    <x v="7"/>
    <s v="AUT"/>
    <x v="9"/>
    <s v="GC.DOD.TOTL.GD.ZS"/>
    <n v="83.422537855493303"/>
    <n v="100.056789599418"/>
    <n v="94.407889969020303"/>
    <n v="74.918866582674795"/>
    <m/>
    <n v="100.056789599418"/>
  </r>
  <r>
    <x v="7"/>
    <s v="AUT"/>
    <x v="10"/>
    <s v="SE.COM.DURS"/>
    <n v="13"/>
    <n v="13"/>
    <n v="13"/>
    <n v="13"/>
    <n v="13"/>
    <n v="13"/>
  </r>
  <r>
    <x v="7"/>
    <s v="AUT"/>
    <x v="11"/>
    <s v="CC.PER.RNK"/>
    <n v="90.476188659667997"/>
    <n v="90.952377319335895"/>
    <n v="85.714286804199205"/>
    <n v="84.905662536621094"/>
    <n v="83.490562438964801"/>
    <n v="90.952377319335895"/>
  </r>
  <r>
    <x v="7"/>
    <s v="AUT"/>
    <x v="12"/>
    <s v="per_sa_allsa.cov_pop_tot"/>
    <m/>
    <m/>
    <m/>
    <m/>
    <m/>
    <n v="0"/>
  </r>
  <r>
    <x v="7"/>
    <s v="AUT"/>
    <x v="13"/>
    <s v="per_si_allsi.cov_q1_tot"/>
    <m/>
    <m/>
    <m/>
    <m/>
    <m/>
    <n v="0"/>
  </r>
  <r>
    <x v="7"/>
    <s v="AUT"/>
    <x v="14"/>
    <s v="SP.DYN.TO65.FE.ZS"/>
    <n v="93.073777000000007"/>
    <n v="93.036648"/>
    <n v="92.960347999999996"/>
    <n v="93.266368"/>
    <m/>
    <n v="93.266368"/>
  </r>
  <r>
    <x v="7"/>
    <s v="AUT"/>
    <x v="15"/>
    <s v="SP.POP.TECH.RD.P6"/>
    <m/>
    <m/>
    <m/>
    <m/>
    <m/>
    <n v="0"/>
  </r>
  <r>
    <x v="7"/>
    <s v="AUT"/>
    <x v="16"/>
    <s v="IC.REG.DURS"/>
    <n v="21"/>
    <m/>
    <m/>
    <m/>
    <m/>
    <n v="21"/>
  </r>
  <r>
    <x v="8"/>
    <s v="AZE"/>
    <x v="0"/>
    <s v="FX.OWN.TOTL.ZS"/>
    <m/>
    <m/>
    <m/>
    <n v="46.26"/>
    <m/>
    <n v="46.26"/>
  </r>
  <r>
    <x v="8"/>
    <s v="AZE"/>
    <x v="1"/>
    <s v="FX.OWN.TOTL.FE.ZS"/>
    <m/>
    <m/>
    <m/>
    <n v="38.840000000000003"/>
    <m/>
    <n v="38.840000000000003"/>
  </r>
  <r>
    <x v="8"/>
    <s v="AZE"/>
    <x v="2"/>
    <s v="FX.OWN.TOTL.MA.ZS"/>
    <m/>
    <m/>
    <m/>
    <n v="54.59"/>
    <m/>
    <n v="54.59"/>
  </r>
  <r>
    <x v="8"/>
    <s v="AZE"/>
    <x v="3"/>
    <s v="FX.OWN.TOTL.40.ZS"/>
    <m/>
    <m/>
    <m/>
    <n v="35.58"/>
    <m/>
    <n v="35.58"/>
  </r>
  <r>
    <x v="8"/>
    <s v="AZE"/>
    <x v="4"/>
    <s v="FX.OWN.TOTL.YG.ZS"/>
    <m/>
    <m/>
    <m/>
    <n v="36.380000000000003"/>
    <m/>
    <n v="36.380000000000003"/>
  </r>
  <r>
    <x v="8"/>
    <s v="AZE"/>
    <x v="5"/>
    <s v="FX.OWN.TOTL.PL.ZS"/>
    <m/>
    <m/>
    <m/>
    <n v="30.61"/>
    <m/>
    <n v="30.61"/>
  </r>
  <r>
    <x v="8"/>
    <s v="AZE"/>
    <x v="6"/>
    <s v="SL.TLF.0714.WK.TM"/>
    <m/>
    <m/>
    <m/>
    <m/>
    <m/>
    <n v="0"/>
  </r>
  <r>
    <x v="8"/>
    <s v="AZE"/>
    <x v="7"/>
    <s v="IC.FRM.BRIB.ZS"/>
    <n v="12.1"/>
    <m/>
    <m/>
    <m/>
    <m/>
    <n v="12.1"/>
  </r>
  <r>
    <x v="8"/>
    <s v="AZE"/>
    <x v="8"/>
    <s v="IC.BUS.DISC.XQ"/>
    <n v="10"/>
    <m/>
    <m/>
    <m/>
    <m/>
    <n v="10"/>
  </r>
  <r>
    <x v="8"/>
    <s v="AZE"/>
    <x v="9"/>
    <s v="GC.DOD.TOTL.GD.ZS"/>
    <m/>
    <n v="22.189999462647801"/>
    <n v="16.822426697795802"/>
    <m/>
    <m/>
    <n v="22.189999462647801"/>
  </r>
  <r>
    <x v="8"/>
    <s v="AZE"/>
    <x v="10"/>
    <s v="SE.COM.DURS"/>
    <n v="10"/>
    <n v="10"/>
    <n v="10"/>
    <n v="10"/>
    <n v="9"/>
    <n v="10"/>
  </r>
  <r>
    <x v="8"/>
    <s v="AZE"/>
    <x v="11"/>
    <s v="CC.PER.RNK"/>
    <n v="22.857143402099599"/>
    <n v="15.238095283508301"/>
    <n v="21.428571701049801"/>
    <n v="16.981132507324201"/>
    <n v="12.2641506195068"/>
    <n v="22.857143402099599"/>
  </r>
  <r>
    <x v="8"/>
    <s v="AZE"/>
    <x v="12"/>
    <s v="per_sa_allsa.cov_pop_tot"/>
    <m/>
    <m/>
    <m/>
    <m/>
    <m/>
    <n v="0"/>
  </r>
  <r>
    <x v="8"/>
    <s v="AZE"/>
    <x v="13"/>
    <s v="per_si_allsi.cov_q1_tot"/>
    <m/>
    <m/>
    <m/>
    <m/>
    <m/>
    <n v="0"/>
  </r>
  <r>
    <x v="8"/>
    <s v="AZE"/>
    <x v="14"/>
    <s v="SP.DYN.TO65.FE.ZS"/>
    <n v="85.660171000000005"/>
    <n v="81.847132999999999"/>
    <n v="81.798897999999994"/>
    <n v="85.460871999999995"/>
    <m/>
    <n v="85.660171000000005"/>
  </r>
  <r>
    <x v="8"/>
    <s v="AZE"/>
    <x v="15"/>
    <s v="SP.POP.TECH.RD.P6"/>
    <m/>
    <m/>
    <m/>
    <m/>
    <m/>
    <n v="0"/>
  </r>
  <r>
    <x v="8"/>
    <s v="AZE"/>
    <x v="16"/>
    <s v="IC.REG.DURS"/>
    <n v="3.5"/>
    <m/>
    <m/>
    <m/>
    <m/>
    <n v="3.5"/>
  </r>
  <r>
    <x v="9"/>
    <s v="BHS"/>
    <x v="0"/>
    <s v="FX.OWN.TOTL.ZS"/>
    <m/>
    <m/>
    <m/>
    <m/>
    <m/>
    <n v="0"/>
  </r>
  <r>
    <x v="9"/>
    <s v="BHS"/>
    <x v="1"/>
    <s v="FX.OWN.TOTL.FE.ZS"/>
    <m/>
    <m/>
    <m/>
    <m/>
    <m/>
    <n v="0"/>
  </r>
  <r>
    <x v="9"/>
    <s v="BHS"/>
    <x v="2"/>
    <s v="FX.OWN.TOTL.MA.ZS"/>
    <m/>
    <m/>
    <m/>
    <m/>
    <m/>
    <n v="0"/>
  </r>
  <r>
    <x v="9"/>
    <s v="BHS"/>
    <x v="3"/>
    <s v="FX.OWN.TOTL.40.ZS"/>
    <m/>
    <m/>
    <m/>
    <m/>
    <m/>
    <n v="0"/>
  </r>
  <r>
    <x v="9"/>
    <s v="BHS"/>
    <x v="4"/>
    <s v="FX.OWN.TOTL.YG.ZS"/>
    <m/>
    <m/>
    <m/>
    <m/>
    <m/>
    <n v="0"/>
  </r>
  <r>
    <x v="9"/>
    <s v="BHS"/>
    <x v="5"/>
    <s v="FX.OWN.TOTL.PL.ZS"/>
    <m/>
    <m/>
    <m/>
    <m/>
    <m/>
    <n v="0"/>
  </r>
  <r>
    <x v="9"/>
    <s v="BHS"/>
    <x v="6"/>
    <s v="SL.TLF.0714.WK.TM"/>
    <m/>
    <m/>
    <m/>
    <m/>
    <m/>
    <n v="0"/>
  </r>
  <r>
    <x v="9"/>
    <s v="BHS"/>
    <x v="7"/>
    <s v="IC.FRM.BRIB.ZS"/>
    <m/>
    <m/>
    <m/>
    <m/>
    <m/>
    <n v="0"/>
  </r>
  <r>
    <x v="9"/>
    <s v="BHS"/>
    <x v="8"/>
    <s v="IC.BUS.DISC.XQ"/>
    <n v="3"/>
    <m/>
    <m/>
    <m/>
    <m/>
    <n v="3"/>
  </r>
  <r>
    <x v="9"/>
    <s v="BHS"/>
    <x v="9"/>
    <s v="GC.DOD.TOTL.GD.ZS"/>
    <n v="57.828383091839399"/>
    <n v="82.256030249344505"/>
    <n v="87.390331655946696"/>
    <n v="82.159553960693202"/>
    <m/>
    <n v="87.390331655946696"/>
  </r>
  <r>
    <x v="9"/>
    <s v="BHS"/>
    <x v="10"/>
    <s v="SE.COM.DURS"/>
    <n v="12"/>
    <n v="12"/>
    <n v="12"/>
    <n v="12"/>
    <n v="12"/>
    <n v="12"/>
  </r>
  <r>
    <x v="9"/>
    <s v="BHS"/>
    <x v="11"/>
    <s v="CC.PER.RNK"/>
    <n v="82.380950927734403"/>
    <n v="83.333335876464801"/>
    <n v="83.809524536132798"/>
    <n v="84.4339599609375"/>
    <n v="88.207550048828097"/>
    <n v="88.207550048828097"/>
  </r>
  <r>
    <x v="9"/>
    <s v="BHS"/>
    <x v="12"/>
    <s v="per_sa_allsa.cov_pop_tot"/>
    <m/>
    <m/>
    <m/>
    <m/>
    <m/>
    <n v="0"/>
  </r>
  <r>
    <x v="9"/>
    <s v="BHS"/>
    <x v="13"/>
    <s v="per_si_allsi.cov_q1_tot"/>
    <m/>
    <m/>
    <m/>
    <m/>
    <m/>
    <n v="0"/>
  </r>
  <r>
    <x v="9"/>
    <s v="BHS"/>
    <x v="14"/>
    <s v="SP.DYN.TO65.FE.ZS"/>
    <n v="76.705251000000004"/>
    <n v="81.271855000000002"/>
    <n v="76.725279"/>
    <n v="82.828462999999999"/>
    <m/>
    <n v="82.828462999999999"/>
  </r>
  <r>
    <x v="9"/>
    <s v="BHS"/>
    <x v="15"/>
    <s v="SP.POP.TECH.RD.P6"/>
    <m/>
    <m/>
    <m/>
    <m/>
    <m/>
    <n v="0"/>
  </r>
  <r>
    <x v="9"/>
    <s v="BHS"/>
    <x v="16"/>
    <s v="IC.REG.DURS"/>
    <n v="11.5"/>
    <m/>
    <m/>
    <m/>
    <m/>
    <n v="11.5"/>
  </r>
  <r>
    <x v="10"/>
    <s v="BHR"/>
    <x v="0"/>
    <s v="FX.OWN.TOTL.ZS"/>
    <m/>
    <m/>
    <m/>
    <m/>
    <m/>
    <n v="0"/>
  </r>
  <r>
    <x v="10"/>
    <s v="BHR"/>
    <x v="1"/>
    <s v="FX.OWN.TOTL.FE.ZS"/>
    <m/>
    <m/>
    <m/>
    <m/>
    <m/>
    <n v="0"/>
  </r>
  <r>
    <x v="10"/>
    <s v="BHR"/>
    <x v="2"/>
    <s v="FX.OWN.TOTL.MA.ZS"/>
    <m/>
    <m/>
    <m/>
    <m/>
    <m/>
    <n v="0"/>
  </r>
  <r>
    <x v="10"/>
    <s v="BHR"/>
    <x v="3"/>
    <s v="FX.OWN.TOTL.40.ZS"/>
    <m/>
    <m/>
    <m/>
    <m/>
    <m/>
    <n v="0"/>
  </r>
  <r>
    <x v="10"/>
    <s v="BHR"/>
    <x v="4"/>
    <s v="FX.OWN.TOTL.YG.ZS"/>
    <m/>
    <m/>
    <m/>
    <m/>
    <m/>
    <n v="0"/>
  </r>
  <r>
    <x v="10"/>
    <s v="BHR"/>
    <x v="5"/>
    <s v="FX.OWN.TOTL.PL.ZS"/>
    <m/>
    <m/>
    <m/>
    <m/>
    <m/>
    <n v="0"/>
  </r>
  <r>
    <x v="10"/>
    <s v="BHR"/>
    <x v="6"/>
    <s v="SL.TLF.0714.WK.TM"/>
    <m/>
    <m/>
    <m/>
    <m/>
    <m/>
    <n v="0"/>
  </r>
  <r>
    <x v="10"/>
    <s v="BHR"/>
    <x v="7"/>
    <s v="IC.FRM.BRIB.ZS"/>
    <m/>
    <m/>
    <m/>
    <m/>
    <m/>
    <n v="0"/>
  </r>
  <r>
    <x v="10"/>
    <s v="BHR"/>
    <x v="8"/>
    <s v="IC.BUS.DISC.XQ"/>
    <n v="8"/>
    <m/>
    <m/>
    <m/>
    <m/>
    <n v="8"/>
  </r>
  <r>
    <x v="10"/>
    <s v="BHR"/>
    <x v="9"/>
    <s v="GC.DOD.TOTL.GD.ZS"/>
    <n v="91.359810625986299"/>
    <n v="111.598089477141"/>
    <m/>
    <m/>
    <m/>
    <n v="111.598089477141"/>
  </r>
  <r>
    <x v="10"/>
    <s v="BHR"/>
    <x v="10"/>
    <s v="SE.COM.DURS"/>
    <n v="9"/>
    <n v="9"/>
    <n v="9"/>
    <n v="9"/>
    <n v="9"/>
    <n v="9"/>
  </r>
  <r>
    <x v="10"/>
    <s v="BHR"/>
    <x v="11"/>
    <s v="CC.PER.RNK"/>
    <n v="53.809524536132798"/>
    <n v="51.904762268066399"/>
    <n v="58.5714302062988"/>
    <n v="59.433963775634801"/>
    <n v="59.433963775634801"/>
    <n v="59.433963775634801"/>
  </r>
  <r>
    <x v="10"/>
    <s v="BHR"/>
    <x v="12"/>
    <s v="per_sa_allsa.cov_pop_tot"/>
    <m/>
    <m/>
    <m/>
    <m/>
    <m/>
    <n v="0"/>
  </r>
  <r>
    <x v="10"/>
    <s v="BHR"/>
    <x v="13"/>
    <s v="per_si_allsi.cov_q1_tot"/>
    <m/>
    <m/>
    <m/>
    <m/>
    <m/>
    <n v="0"/>
  </r>
  <r>
    <x v="10"/>
    <s v="BHR"/>
    <x v="14"/>
    <s v="SP.DYN.TO65.FE.ZS"/>
    <n v="90.565905999999998"/>
    <n v="90.462923000000004"/>
    <n v="87.515371999999999"/>
    <n v="91.180304000000007"/>
    <m/>
    <n v="91.180304000000007"/>
  </r>
  <r>
    <x v="10"/>
    <s v="BHR"/>
    <x v="15"/>
    <s v="SP.POP.TECH.RD.P6"/>
    <m/>
    <m/>
    <m/>
    <m/>
    <m/>
    <n v="0"/>
  </r>
  <r>
    <x v="10"/>
    <s v="BHR"/>
    <x v="16"/>
    <s v="IC.REG.DURS"/>
    <n v="8.3000000000000007"/>
    <m/>
    <m/>
    <m/>
    <m/>
    <n v="8.3000000000000007"/>
  </r>
  <r>
    <x v="11"/>
    <s v="BGD"/>
    <x v="0"/>
    <s v="FX.OWN.TOTL.ZS"/>
    <m/>
    <m/>
    <n v="52.81"/>
    <m/>
    <m/>
    <n v="52.81"/>
  </r>
  <r>
    <x v="11"/>
    <s v="BGD"/>
    <x v="1"/>
    <s v="FX.OWN.TOTL.FE.ZS"/>
    <m/>
    <m/>
    <n v="43.46"/>
    <m/>
    <m/>
    <n v="43.46"/>
  </r>
  <r>
    <x v="11"/>
    <s v="BGD"/>
    <x v="2"/>
    <s v="FX.OWN.TOTL.MA.ZS"/>
    <m/>
    <m/>
    <n v="62.86"/>
    <m/>
    <m/>
    <n v="62.86"/>
  </r>
  <r>
    <x v="11"/>
    <s v="BGD"/>
    <x v="3"/>
    <s v="FX.OWN.TOTL.40.ZS"/>
    <m/>
    <m/>
    <n v="48.65"/>
    <m/>
    <m/>
    <n v="48.65"/>
  </r>
  <r>
    <x v="11"/>
    <s v="BGD"/>
    <x v="4"/>
    <s v="FX.OWN.TOTL.YG.ZS"/>
    <m/>
    <m/>
    <n v="47.8"/>
    <m/>
    <m/>
    <n v="47.8"/>
  </r>
  <r>
    <x v="11"/>
    <s v="BGD"/>
    <x v="5"/>
    <s v="FX.OWN.TOTL.PL.ZS"/>
    <m/>
    <m/>
    <n v="46.57"/>
    <m/>
    <m/>
    <n v="46.57"/>
  </r>
  <r>
    <x v="11"/>
    <s v="BGD"/>
    <x v="6"/>
    <s v="SL.TLF.0714.WK.TM"/>
    <m/>
    <m/>
    <m/>
    <m/>
    <m/>
    <n v="0"/>
  </r>
  <r>
    <x v="11"/>
    <s v="BGD"/>
    <x v="7"/>
    <s v="IC.FRM.BRIB.ZS"/>
    <m/>
    <m/>
    <m/>
    <n v="23"/>
    <m/>
    <n v="23"/>
  </r>
  <r>
    <x v="11"/>
    <s v="BGD"/>
    <x v="8"/>
    <s v="IC.BUS.DISC.XQ"/>
    <n v="6"/>
    <m/>
    <m/>
    <m/>
    <m/>
    <n v="6"/>
  </r>
  <r>
    <x v="11"/>
    <s v="BGD"/>
    <x v="9"/>
    <s v="GC.DOD.TOTL.GD.ZS"/>
    <m/>
    <m/>
    <m/>
    <m/>
    <m/>
    <n v="0"/>
  </r>
  <r>
    <x v="11"/>
    <s v="BGD"/>
    <x v="10"/>
    <s v="SE.COM.DURS"/>
    <n v="5"/>
    <n v="5"/>
    <n v="5"/>
    <n v="5"/>
    <n v="5"/>
    <n v="5"/>
  </r>
  <r>
    <x v="11"/>
    <s v="BGD"/>
    <x v="11"/>
    <s v="CC.PER.RNK"/>
    <n v="16.190475463867202"/>
    <n v="17.142856597900401"/>
    <n v="18.095237731933601"/>
    <n v="15.566038131713899"/>
    <n v="14.622641563415501"/>
    <n v="18.095237731933601"/>
  </r>
  <r>
    <x v="11"/>
    <s v="BGD"/>
    <x v="12"/>
    <s v="per_sa_allsa.cov_pop_tot"/>
    <m/>
    <m/>
    <m/>
    <m/>
    <m/>
    <n v="0"/>
  </r>
  <r>
    <x v="11"/>
    <s v="BGD"/>
    <x v="13"/>
    <s v="per_si_allsi.cov_q1_tot"/>
    <m/>
    <m/>
    <m/>
    <m/>
    <m/>
    <n v="0"/>
  </r>
  <r>
    <x v="11"/>
    <s v="BGD"/>
    <x v="14"/>
    <s v="SP.DYN.TO65.FE.ZS"/>
    <n v="80.001991000000004"/>
    <n v="78.662711999999999"/>
    <n v="77.041167999999999"/>
    <n v="81.950648999999999"/>
    <m/>
    <n v="81.950648999999999"/>
  </r>
  <r>
    <x v="11"/>
    <s v="BGD"/>
    <x v="15"/>
    <s v="SP.POP.TECH.RD.P6"/>
    <m/>
    <m/>
    <m/>
    <m/>
    <m/>
    <n v="0"/>
  </r>
  <r>
    <x v="11"/>
    <s v="BGD"/>
    <x v="16"/>
    <s v="IC.REG.DURS"/>
    <n v="19.5"/>
    <m/>
    <m/>
    <m/>
    <m/>
    <n v="19.5"/>
  </r>
  <r>
    <x v="12"/>
    <s v="BRB"/>
    <x v="0"/>
    <s v="FX.OWN.TOTL.ZS"/>
    <m/>
    <m/>
    <m/>
    <m/>
    <m/>
    <n v="0"/>
  </r>
  <r>
    <x v="12"/>
    <s v="BRB"/>
    <x v="1"/>
    <s v="FX.OWN.TOTL.FE.ZS"/>
    <m/>
    <m/>
    <m/>
    <m/>
    <m/>
    <n v="0"/>
  </r>
  <r>
    <x v="12"/>
    <s v="BRB"/>
    <x v="2"/>
    <s v="FX.OWN.TOTL.MA.ZS"/>
    <m/>
    <m/>
    <m/>
    <m/>
    <m/>
    <n v="0"/>
  </r>
  <r>
    <x v="12"/>
    <s v="BRB"/>
    <x v="3"/>
    <s v="FX.OWN.TOTL.40.ZS"/>
    <m/>
    <m/>
    <m/>
    <m/>
    <m/>
    <n v="0"/>
  </r>
  <r>
    <x v="12"/>
    <s v="BRB"/>
    <x v="4"/>
    <s v="FX.OWN.TOTL.YG.ZS"/>
    <m/>
    <m/>
    <m/>
    <m/>
    <m/>
    <n v="0"/>
  </r>
  <r>
    <x v="12"/>
    <s v="BRB"/>
    <x v="5"/>
    <s v="FX.OWN.TOTL.PL.ZS"/>
    <m/>
    <m/>
    <m/>
    <m/>
    <m/>
    <n v="0"/>
  </r>
  <r>
    <x v="12"/>
    <s v="BRB"/>
    <x v="6"/>
    <s v="SL.TLF.0714.WK.TM"/>
    <m/>
    <m/>
    <m/>
    <m/>
    <m/>
    <n v="0"/>
  </r>
  <r>
    <x v="12"/>
    <s v="BRB"/>
    <x v="7"/>
    <s v="IC.FRM.BRIB.ZS"/>
    <m/>
    <m/>
    <m/>
    <m/>
    <n v="0"/>
    <n v="0"/>
  </r>
  <r>
    <x v="12"/>
    <s v="BRB"/>
    <x v="8"/>
    <s v="IC.BUS.DISC.XQ"/>
    <n v="2"/>
    <m/>
    <m/>
    <m/>
    <m/>
    <n v="2"/>
  </r>
  <r>
    <x v="12"/>
    <s v="BRB"/>
    <x v="9"/>
    <s v="GC.DOD.TOTL.GD.ZS"/>
    <m/>
    <m/>
    <m/>
    <m/>
    <m/>
    <n v="0"/>
  </r>
  <r>
    <x v="12"/>
    <s v="BRB"/>
    <x v="10"/>
    <s v="SE.COM.DURS"/>
    <n v="11"/>
    <n v="11"/>
    <n v="11"/>
    <n v="11"/>
    <n v="11"/>
    <n v="11"/>
  </r>
  <r>
    <x v="12"/>
    <s v="BRB"/>
    <x v="11"/>
    <s v="CC.PER.RNK"/>
    <n v="83.333335876464801"/>
    <n v="84.761901855468807"/>
    <n v="84.761901855468807"/>
    <n v="89.150939941406193"/>
    <n v="89.622642517089801"/>
    <n v="89.622642517089801"/>
  </r>
  <r>
    <x v="12"/>
    <s v="BRB"/>
    <x v="12"/>
    <s v="per_sa_allsa.cov_pop_tot"/>
    <m/>
    <m/>
    <m/>
    <m/>
    <m/>
    <n v="0"/>
  </r>
  <r>
    <x v="12"/>
    <s v="BRB"/>
    <x v="13"/>
    <s v="per_si_allsi.cov_q1_tot"/>
    <m/>
    <m/>
    <m/>
    <m/>
    <m/>
    <n v="0"/>
  </r>
  <r>
    <x v="12"/>
    <s v="BRB"/>
    <x v="14"/>
    <s v="SP.DYN.TO65.FE.ZS"/>
    <n v="86.776802000000004"/>
    <n v="86.909526999999997"/>
    <n v="87.121634999999998"/>
    <n v="87.200547"/>
    <m/>
    <n v="87.200547"/>
  </r>
  <r>
    <x v="12"/>
    <s v="BRB"/>
    <x v="15"/>
    <s v="SP.POP.TECH.RD.P6"/>
    <m/>
    <m/>
    <m/>
    <m/>
    <m/>
    <n v="0"/>
  </r>
  <r>
    <x v="12"/>
    <s v="BRB"/>
    <x v="16"/>
    <s v="IC.REG.DURS"/>
    <n v="16"/>
    <m/>
    <m/>
    <m/>
    <m/>
    <n v="16"/>
  </r>
  <r>
    <x v="13"/>
    <s v="BLR"/>
    <x v="0"/>
    <s v="FX.OWN.TOTL.ZS"/>
    <m/>
    <m/>
    <m/>
    <m/>
    <m/>
    <n v="0"/>
  </r>
  <r>
    <x v="13"/>
    <s v="BLR"/>
    <x v="1"/>
    <s v="FX.OWN.TOTL.FE.ZS"/>
    <m/>
    <m/>
    <m/>
    <m/>
    <m/>
    <n v="0"/>
  </r>
  <r>
    <x v="13"/>
    <s v="BLR"/>
    <x v="2"/>
    <s v="FX.OWN.TOTL.MA.ZS"/>
    <m/>
    <m/>
    <m/>
    <m/>
    <m/>
    <n v="0"/>
  </r>
  <r>
    <x v="13"/>
    <s v="BLR"/>
    <x v="3"/>
    <s v="FX.OWN.TOTL.40.ZS"/>
    <m/>
    <m/>
    <m/>
    <m/>
    <m/>
    <n v="0"/>
  </r>
  <r>
    <x v="13"/>
    <s v="BLR"/>
    <x v="4"/>
    <s v="FX.OWN.TOTL.YG.ZS"/>
    <m/>
    <m/>
    <m/>
    <m/>
    <m/>
    <n v="0"/>
  </r>
  <r>
    <x v="13"/>
    <s v="BLR"/>
    <x v="5"/>
    <s v="FX.OWN.TOTL.PL.ZS"/>
    <m/>
    <m/>
    <m/>
    <m/>
    <m/>
    <n v="0"/>
  </r>
  <r>
    <x v="13"/>
    <s v="BLR"/>
    <x v="6"/>
    <s v="SL.TLF.0714.WK.TM"/>
    <m/>
    <m/>
    <m/>
    <m/>
    <m/>
    <n v="0"/>
  </r>
  <r>
    <x v="13"/>
    <s v="BLR"/>
    <x v="7"/>
    <s v="IC.FRM.BRIB.ZS"/>
    <m/>
    <m/>
    <m/>
    <m/>
    <m/>
    <n v="0"/>
  </r>
  <r>
    <x v="13"/>
    <s v="BLR"/>
    <x v="8"/>
    <s v="IC.BUS.DISC.XQ"/>
    <n v="6"/>
    <m/>
    <m/>
    <m/>
    <m/>
    <n v="6"/>
  </r>
  <r>
    <x v="13"/>
    <s v="BLR"/>
    <x v="9"/>
    <s v="GC.DOD.TOTL.GD.ZS"/>
    <n v="33.2442286168097"/>
    <m/>
    <m/>
    <m/>
    <m/>
    <n v="33.2442286168097"/>
  </r>
  <r>
    <x v="13"/>
    <s v="BLR"/>
    <x v="10"/>
    <s v="SE.COM.DURS"/>
    <n v="9"/>
    <n v="9"/>
    <n v="9"/>
    <n v="11"/>
    <n v="11"/>
    <n v="11"/>
  </r>
  <r>
    <x v="13"/>
    <s v="BLR"/>
    <x v="11"/>
    <s v="CC.PER.RNK"/>
    <n v="56.190475463867202"/>
    <n v="49.523811340332003"/>
    <n v="47.619049072265597"/>
    <n v="31.603773117065401"/>
    <n v="26.886793136596701"/>
    <n v="56.190475463867202"/>
  </r>
  <r>
    <x v="13"/>
    <s v="BLR"/>
    <x v="12"/>
    <s v="per_sa_allsa.cov_pop_tot"/>
    <n v="47.074577773880399"/>
    <m/>
    <m/>
    <m/>
    <m/>
    <n v="47.074577773880399"/>
  </r>
  <r>
    <x v="13"/>
    <s v="BLR"/>
    <x v="13"/>
    <s v="per_si_allsi.cov_q1_tot"/>
    <n v="41.428400070760901"/>
    <m/>
    <m/>
    <m/>
    <m/>
    <n v="41.428400070760901"/>
  </r>
  <r>
    <x v="13"/>
    <s v="BLR"/>
    <x v="14"/>
    <s v="SP.DYN.TO65.FE.ZS"/>
    <n v="86.958715999999995"/>
    <n v="84.607370000000003"/>
    <n v="84.204141000000007"/>
    <n v="86.831823999999997"/>
    <m/>
    <n v="86.958715999999995"/>
  </r>
  <r>
    <x v="13"/>
    <s v="BLR"/>
    <x v="15"/>
    <s v="SP.POP.TECH.RD.P6"/>
    <m/>
    <m/>
    <m/>
    <m/>
    <m/>
    <n v="0"/>
  </r>
  <r>
    <x v="13"/>
    <s v="BLR"/>
    <x v="16"/>
    <s v="IC.REG.DURS"/>
    <n v="8.5"/>
    <m/>
    <m/>
    <m/>
    <m/>
    <n v="8.5"/>
  </r>
  <r>
    <x v="14"/>
    <s v="BEL"/>
    <x v="0"/>
    <s v="FX.OWN.TOTL.ZS"/>
    <m/>
    <m/>
    <n v="99.01"/>
    <m/>
    <m/>
    <n v="99.01"/>
  </r>
  <r>
    <x v="14"/>
    <s v="BEL"/>
    <x v="1"/>
    <s v="FX.OWN.TOTL.FE.ZS"/>
    <m/>
    <m/>
    <n v="98.65"/>
    <m/>
    <m/>
    <n v="98.65"/>
  </r>
  <r>
    <x v="14"/>
    <s v="BEL"/>
    <x v="2"/>
    <s v="FX.OWN.TOTL.MA.ZS"/>
    <m/>
    <m/>
    <n v="99.37"/>
    <m/>
    <m/>
    <n v="99.37"/>
  </r>
  <r>
    <x v="14"/>
    <s v="BEL"/>
    <x v="3"/>
    <s v="FX.OWN.TOTL.40.ZS"/>
    <m/>
    <m/>
    <n v="97.94"/>
    <m/>
    <m/>
    <n v="97.94"/>
  </r>
  <r>
    <x v="14"/>
    <s v="BEL"/>
    <x v="4"/>
    <s v="FX.OWN.TOTL.YG.ZS"/>
    <m/>
    <m/>
    <n v="94.73"/>
    <m/>
    <m/>
    <n v="94.73"/>
  </r>
  <r>
    <x v="14"/>
    <s v="BEL"/>
    <x v="5"/>
    <s v="FX.OWN.TOTL.PL.ZS"/>
    <m/>
    <m/>
    <n v="93.81"/>
    <m/>
    <m/>
    <n v="93.81"/>
  </r>
  <r>
    <x v="14"/>
    <s v="BEL"/>
    <x v="6"/>
    <s v="SL.TLF.0714.WK.TM"/>
    <m/>
    <m/>
    <m/>
    <m/>
    <m/>
    <n v="0"/>
  </r>
  <r>
    <x v="14"/>
    <s v="BEL"/>
    <x v="7"/>
    <s v="IC.FRM.BRIB.ZS"/>
    <m/>
    <n v="4.3"/>
    <m/>
    <m/>
    <m/>
    <n v="4.3"/>
  </r>
  <r>
    <x v="14"/>
    <s v="BEL"/>
    <x v="8"/>
    <s v="IC.BUS.DISC.XQ"/>
    <n v="8"/>
    <m/>
    <m/>
    <m/>
    <m/>
    <n v="8"/>
  </r>
  <r>
    <x v="14"/>
    <s v="BEL"/>
    <x v="9"/>
    <s v="GC.DOD.TOTL.GD.ZS"/>
    <n v="103.200888047045"/>
    <n v="118.442409069939"/>
    <n v="108.44529721483801"/>
    <n v="92.482536639240493"/>
    <m/>
    <n v="118.442409069939"/>
  </r>
  <r>
    <x v="14"/>
    <s v="BEL"/>
    <x v="10"/>
    <s v="SE.COM.DURS"/>
    <n v="12"/>
    <n v="12"/>
    <n v="12"/>
    <n v="12"/>
    <n v="12"/>
    <n v="12"/>
  </r>
  <r>
    <x v="14"/>
    <s v="BEL"/>
    <x v="11"/>
    <s v="CC.PER.RNK"/>
    <n v="89.523811340332003"/>
    <n v="90"/>
    <n v="89.523811340332003"/>
    <n v="89.622642517089801"/>
    <n v="89.150939941406193"/>
    <n v="90"/>
  </r>
  <r>
    <x v="14"/>
    <s v="BEL"/>
    <x v="12"/>
    <s v="per_sa_allsa.cov_pop_tot"/>
    <m/>
    <m/>
    <m/>
    <m/>
    <m/>
    <n v="0"/>
  </r>
  <r>
    <x v="14"/>
    <s v="BEL"/>
    <x v="13"/>
    <s v="per_si_allsi.cov_q1_tot"/>
    <m/>
    <m/>
    <m/>
    <m/>
    <m/>
    <n v="0"/>
  </r>
  <r>
    <x v="14"/>
    <s v="BEL"/>
    <x v="14"/>
    <s v="SP.DYN.TO65.FE.ZS"/>
    <n v="92.065814000000003"/>
    <n v="91.971010000000007"/>
    <n v="92.223268000000004"/>
    <n v="92.020131000000006"/>
    <m/>
    <n v="92.223268000000004"/>
  </r>
  <r>
    <x v="14"/>
    <s v="BEL"/>
    <x v="15"/>
    <s v="SP.POP.TECH.RD.P6"/>
    <m/>
    <m/>
    <m/>
    <m/>
    <m/>
    <n v="0"/>
  </r>
  <r>
    <x v="14"/>
    <s v="BEL"/>
    <x v="16"/>
    <s v="IC.REG.DURS"/>
    <n v="5"/>
    <m/>
    <m/>
    <m/>
    <m/>
    <n v="5"/>
  </r>
  <r>
    <x v="15"/>
    <s v="BMU"/>
    <x v="0"/>
    <s v="FX.OWN.TOTL.ZS"/>
    <m/>
    <m/>
    <m/>
    <m/>
    <m/>
    <n v="0"/>
  </r>
  <r>
    <x v="15"/>
    <s v="BMU"/>
    <x v="1"/>
    <s v="FX.OWN.TOTL.FE.ZS"/>
    <m/>
    <m/>
    <m/>
    <m/>
    <m/>
    <n v="0"/>
  </r>
  <r>
    <x v="15"/>
    <s v="BMU"/>
    <x v="2"/>
    <s v="FX.OWN.TOTL.MA.ZS"/>
    <m/>
    <m/>
    <m/>
    <m/>
    <m/>
    <n v="0"/>
  </r>
  <r>
    <x v="15"/>
    <s v="BMU"/>
    <x v="3"/>
    <s v="FX.OWN.TOTL.40.ZS"/>
    <m/>
    <m/>
    <m/>
    <m/>
    <m/>
    <n v="0"/>
  </r>
  <r>
    <x v="15"/>
    <s v="BMU"/>
    <x v="4"/>
    <s v="FX.OWN.TOTL.YG.ZS"/>
    <m/>
    <m/>
    <m/>
    <m/>
    <m/>
    <n v="0"/>
  </r>
  <r>
    <x v="15"/>
    <s v="BMU"/>
    <x v="5"/>
    <s v="FX.OWN.TOTL.PL.ZS"/>
    <m/>
    <m/>
    <m/>
    <m/>
    <m/>
    <n v="0"/>
  </r>
  <r>
    <x v="15"/>
    <s v="BMU"/>
    <x v="6"/>
    <s v="SL.TLF.0714.WK.TM"/>
    <m/>
    <m/>
    <m/>
    <m/>
    <m/>
    <n v="0"/>
  </r>
  <r>
    <x v="15"/>
    <s v="BMU"/>
    <x v="7"/>
    <s v="IC.FRM.BRIB.ZS"/>
    <m/>
    <m/>
    <m/>
    <m/>
    <m/>
    <n v="0"/>
  </r>
  <r>
    <x v="15"/>
    <s v="BMU"/>
    <x v="8"/>
    <s v="IC.BUS.DISC.XQ"/>
    <m/>
    <m/>
    <m/>
    <m/>
    <m/>
    <n v="0"/>
  </r>
  <r>
    <x v="15"/>
    <s v="BMU"/>
    <x v="9"/>
    <s v="GC.DOD.TOTL.GD.ZS"/>
    <m/>
    <m/>
    <m/>
    <m/>
    <m/>
    <n v="0"/>
  </r>
  <r>
    <x v="15"/>
    <s v="BMU"/>
    <x v="10"/>
    <s v="SE.COM.DURS"/>
    <n v="13"/>
    <n v="13"/>
    <n v="13"/>
    <n v="13"/>
    <n v="13"/>
    <n v="13"/>
  </r>
  <r>
    <x v="15"/>
    <s v="BMU"/>
    <x v="11"/>
    <s v="CC.PER.RNK"/>
    <n v="87.142860412597699"/>
    <n v="88.571426391601605"/>
    <n v="88.571426391601605"/>
    <n v="88.679244995117202"/>
    <n v="87.735847473144503"/>
    <n v="88.679244995117202"/>
  </r>
  <r>
    <x v="15"/>
    <s v="BMU"/>
    <x v="12"/>
    <s v="per_sa_allsa.cov_pop_tot"/>
    <m/>
    <m/>
    <m/>
    <m/>
    <m/>
    <n v="0"/>
  </r>
  <r>
    <x v="15"/>
    <s v="BMU"/>
    <x v="13"/>
    <s v="per_si_allsi.cov_q1_tot"/>
    <m/>
    <m/>
    <m/>
    <m/>
    <m/>
    <n v="0"/>
  </r>
  <r>
    <x v="15"/>
    <s v="BMU"/>
    <x v="14"/>
    <s v="SP.DYN.TO65.FE.ZS"/>
    <n v="92.661206000000007"/>
    <n v="92.670182999999994"/>
    <n v="92.749770999999996"/>
    <n v="92.818295000000006"/>
    <m/>
    <n v="92.818295000000006"/>
  </r>
  <r>
    <x v="15"/>
    <s v="BMU"/>
    <x v="15"/>
    <s v="SP.POP.TECH.RD.P6"/>
    <m/>
    <m/>
    <m/>
    <m/>
    <m/>
    <n v="0"/>
  </r>
  <r>
    <x v="15"/>
    <s v="BMU"/>
    <x v="16"/>
    <s v="IC.REG.DURS"/>
    <m/>
    <m/>
    <m/>
    <m/>
    <m/>
    <n v="0"/>
  </r>
  <r>
    <x v="16"/>
    <s v="BTN"/>
    <x v="0"/>
    <s v="FX.OWN.TOTL.ZS"/>
    <m/>
    <m/>
    <m/>
    <m/>
    <m/>
    <n v="0"/>
  </r>
  <r>
    <x v="16"/>
    <s v="BTN"/>
    <x v="1"/>
    <s v="FX.OWN.TOTL.FE.ZS"/>
    <m/>
    <m/>
    <m/>
    <m/>
    <m/>
    <n v="0"/>
  </r>
  <r>
    <x v="16"/>
    <s v="BTN"/>
    <x v="2"/>
    <s v="FX.OWN.TOTL.MA.ZS"/>
    <m/>
    <m/>
    <m/>
    <m/>
    <m/>
    <n v="0"/>
  </r>
  <r>
    <x v="16"/>
    <s v="BTN"/>
    <x v="3"/>
    <s v="FX.OWN.TOTL.40.ZS"/>
    <m/>
    <m/>
    <m/>
    <m/>
    <m/>
    <n v="0"/>
  </r>
  <r>
    <x v="16"/>
    <s v="BTN"/>
    <x v="4"/>
    <s v="FX.OWN.TOTL.YG.ZS"/>
    <m/>
    <m/>
    <m/>
    <m/>
    <m/>
    <n v="0"/>
  </r>
  <r>
    <x v="16"/>
    <s v="BTN"/>
    <x v="5"/>
    <s v="FX.OWN.TOTL.PL.ZS"/>
    <m/>
    <m/>
    <m/>
    <m/>
    <m/>
    <n v="0"/>
  </r>
  <r>
    <x v="16"/>
    <s v="BTN"/>
    <x v="6"/>
    <s v="SL.TLF.0714.WK.TM"/>
    <m/>
    <m/>
    <m/>
    <m/>
    <m/>
    <n v="0"/>
  </r>
  <r>
    <x v="16"/>
    <s v="BTN"/>
    <x v="7"/>
    <s v="IC.FRM.BRIB.ZS"/>
    <m/>
    <m/>
    <m/>
    <m/>
    <m/>
    <n v="0"/>
  </r>
  <r>
    <x v="16"/>
    <s v="BTN"/>
    <x v="8"/>
    <s v="IC.BUS.DISC.XQ"/>
    <n v="4"/>
    <m/>
    <m/>
    <m/>
    <m/>
    <n v="4"/>
  </r>
  <r>
    <x v="16"/>
    <s v="BTN"/>
    <x v="9"/>
    <s v="GC.DOD.TOTL.GD.ZS"/>
    <n v="90.357352573338005"/>
    <n v="111.007884088239"/>
    <m/>
    <m/>
    <m/>
    <n v="111.007884088239"/>
  </r>
  <r>
    <x v="16"/>
    <s v="BTN"/>
    <x v="10"/>
    <s v="SE.COM.DURS"/>
    <m/>
    <m/>
    <m/>
    <m/>
    <m/>
    <n v="0"/>
  </r>
  <r>
    <x v="16"/>
    <s v="BTN"/>
    <x v="11"/>
    <s v="CC.PER.RNK"/>
    <n v="91.428573608398395"/>
    <n v="93.333335876464801"/>
    <n v="90.476188659667997"/>
    <n v="90.094337463378906"/>
    <n v="91.037734985351605"/>
    <n v="93.333335876464801"/>
  </r>
  <r>
    <x v="16"/>
    <s v="BTN"/>
    <x v="12"/>
    <s v="per_sa_allsa.cov_pop_tot"/>
    <m/>
    <m/>
    <m/>
    <m/>
    <m/>
    <n v="0"/>
  </r>
  <r>
    <x v="16"/>
    <s v="BTN"/>
    <x v="13"/>
    <s v="per_si_allsi.cov_q1_tot"/>
    <m/>
    <m/>
    <m/>
    <m/>
    <m/>
    <n v="0"/>
  </r>
  <r>
    <x v="16"/>
    <s v="BTN"/>
    <x v="14"/>
    <s v="SP.DYN.TO65.FE.ZS"/>
    <n v="81.314898999999997"/>
    <n v="81.797748999999996"/>
    <n v="82.106566999999998"/>
    <n v="82.661171999999993"/>
    <m/>
    <n v="82.661171999999993"/>
  </r>
  <r>
    <x v="16"/>
    <s v="BTN"/>
    <x v="15"/>
    <s v="SP.POP.TECH.RD.P6"/>
    <m/>
    <m/>
    <m/>
    <m/>
    <m/>
    <n v="0"/>
  </r>
  <r>
    <x v="16"/>
    <s v="BTN"/>
    <x v="16"/>
    <s v="IC.REG.DURS"/>
    <n v="12"/>
    <m/>
    <m/>
    <m/>
    <m/>
    <n v="12"/>
  </r>
  <r>
    <x v="17"/>
    <s v="BOL"/>
    <x v="0"/>
    <s v="FX.OWN.TOTL.ZS"/>
    <m/>
    <m/>
    <n v="68.89"/>
    <m/>
    <m/>
    <n v="68.89"/>
  </r>
  <r>
    <x v="17"/>
    <s v="BOL"/>
    <x v="1"/>
    <s v="FX.OWN.TOTL.FE.ZS"/>
    <m/>
    <m/>
    <n v="63.29"/>
    <m/>
    <m/>
    <n v="63.29"/>
  </r>
  <r>
    <x v="17"/>
    <s v="BOL"/>
    <x v="2"/>
    <s v="FX.OWN.TOTL.MA.ZS"/>
    <m/>
    <m/>
    <n v="74.040000000000006"/>
    <m/>
    <m/>
    <n v="74.040000000000006"/>
  </r>
  <r>
    <x v="17"/>
    <s v="BOL"/>
    <x v="3"/>
    <s v="FX.OWN.TOTL.40.ZS"/>
    <m/>
    <m/>
    <n v="56.29"/>
    <m/>
    <m/>
    <n v="56.29"/>
  </r>
  <r>
    <x v="17"/>
    <s v="BOL"/>
    <x v="4"/>
    <s v="FX.OWN.TOTL.YG.ZS"/>
    <m/>
    <m/>
    <n v="66.36"/>
    <m/>
    <m/>
    <n v="66.36"/>
  </r>
  <r>
    <x v="17"/>
    <s v="BOL"/>
    <x v="5"/>
    <s v="FX.OWN.TOTL.PL.ZS"/>
    <m/>
    <m/>
    <n v="55.39"/>
    <m/>
    <m/>
    <n v="55.39"/>
  </r>
  <r>
    <x v="17"/>
    <s v="BOL"/>
    <x v="6"/>
    <s v="SL.TLF.0714.WK.TM"/>
    <m/>
    <m/>
    <m/>
    <m/>
    <m/>
    <n v="0"/>
  </r>
  <r>
    <x v="17"/>
    <s v="BOL"/>
    <x v="7"/>
    <s v="IC.FRM.BRIB.ZS"/>
    <m/>
    <m/>
    <m/>
    <m/>
    <m/>
    <n v="0"/>
  </r>
  <r>
    <x v="17"/>
    <s v="BOL"/>
    <x v="8"/>
    <s v="IC.BUS.DISC.XQ"/>
    <n v="1"/>
    <m/>
    <m/>
    <m/>
    <m/>
    <n v="1"/>
  </r>
  <r>
    <x v="17"/>
    <s v="BOL"/>
    <x v="9"/>
    <s v="GC.DOD.TOTL.GD.ZS"/>
    <m/>
    <m/>
    <m/>
    <m/>
    <m/>
    <n v="0"/>
  </r>
  <r>
    <x v="17"/>
    <s v="BOL"/>
    <x v="10"/>
    <s v="SE.COM.DURS"/>
    <n v="14"/>
    <n v="14"/>
    <n v="14"/>
    <n v="14"/>
    <n v="14"/>
    <n v="14"/>
  </r>
  <r>
    <x v="17"/>
    <s v="BOL"/>
    <x v="11"/>
    <s v="CC.PER.RNK"/>
    <n v="25.7142848968506"/>
    <n v="22.380952835083001"/>
    <n v="20.476190567016602"/>
    <n v="20.754716873168899"/>
    <n v="21.698112487793001"/>
    <n v="25.7142848968506"/>
  </r>
  <r>
    <x v="17"/>
    <s v="BOL"/>
    <x v="12"/>
    <s v="per_sa_allsa.cov_pop_tot"/>
    <n v="77.215042832551404"/>
    <n v="97.854020740754905"/>
    <m/>
    <m/>
    <m/>
    <n v="97.854020740754905"/>
  </r>
  <r>
    <x v="17"/>
    <s v="BOL"/>
    <x v="13"/>
    <s v="per_si_allsi.cov_q1_tot"/>
    <n v="1.1835016724816201"/>
    <n v="0.74662058309344503"/>
    <m/>
    <m/>
    <m/>
    <n v="1.1835016724816201"/>
  </r>
  <r>
    <x v="17"/>
    <s v="BOL"/>
    <x v="14"/>
    <s v="SP.DYN.TO65.FE.ZS"/>
    <n v="73.855091999999999"/>
    <n v="66.676950000000005"/>
    <n v="61.089826000000002"/>
    <n v="73.334968000000003"/>
    <m/>
    <n v="73.855091999999999"/>
  </r>
  <r>
    <x v="17"/>
    <s v="BOL"/>
    <x v="15"/>
    <s v="SP.POP.TECH.RD.P6"/>
    <m/>
    <m/>
    <m/>
    <m/>
    <m/>
    <n v="0"/>
  </r>
  <r>
    <x v="17"/>
    <s v="BOL"/>
    <x v="16"/>
    <s v="IC.REG.DURS"/>
    <n v="39.5"/>
    <m/>
    <m/>
    <m/>
    <m/>
    <n v="39.5"/>
  </r>
  <r>
    <x v="18"/>
    <s v="BIH"/>
    <x v="0"/>
    <s v="FX.OWN.TOTL.ZS"/>
    <m/>
    <m/>
    <n v="79.34"/>
    <m/>
    <m/>
    <n v="79.34"/>
  </r>
  <r>
    <x v="18"/>
    <s v="BIH"/>
    <x v="1"/>
    <s v="FX.OWN.TOTL.FE.ZS"/>
    <m/>
    <m/>
    <n v="70.37"/>
    <m/>
    <m/>
    <n v="70.37"/>
  </r>
  <r>
    <x v="18"/>
    <s v="BIH"/>
    <x v="2"/>
    <s v="FX.OWN.TOTL.MA.ZS"/>
    <m/>
    <m/>
    <n v="88.71"/>
    <m/>
    <m/>
    <n v="88.71"/>
  </r>
  <r>
    <x v="18"/>
    <s v="BIH"/>
    <x v="3"/>
    <s v="FX.OWN.TOTL.40.ZS"/>
    <m/>
    <m/>
    <n v="72.290000000000006"/>
    <m/>
    <m/>
    <n v="72.290000000000006"/>
  </r>
  <r>
    <x v="18"/>
    <s v="BIH"/>
    <x v="4"/>
    <s v="FX.OWN.TOTL.YG.ZS"/>
    <m/>
    <m/>
    <n v="61.03"/>
    <m/>
    <m/>
    <n v="61.03"/>
  </r>
  <r>
    <x v="18"/>
    <s v="BIH"/>
    <x v="5"/>
    <s v="FX.OWN.TOTL.PL.ZS"/>
    <m/>
    <m/>
    <n v="57.58"/>
    <m/>
    <m/>
    <n v="57.58"/>
  </r>
  <r>
    <x v="18"/>
    <s v="BIH"/>
    <x v="6"/>
    <s v="SL.TLF.0714.WK.TM"/>
    <m/>
    <m/>
    <m/>
    <m/>
    <m/>
    <n v="0"/>
  </r>
  <r>
    <x v="18"/>
    <s v="BIH"/>
    <x v="7"/>
    <s v="IC.FRM.BRIB.ZS"/>
    <n v="16"/>
    <m/>
    <m/>
    <m/>
    <n v="3.5"/>
    <n v="16"/>
  </r>
  <r>
    <x v="18"/>
    <s v="BIH"/>
    <x v="8"/>
    <s v="IC.BUS.DISC.XQ"/>
    <n v="3"/>
    <m/>
    <m/>
    <m/>
    <m/>
    <n v="3"/>
  </r>
  <r>
    <x v="18"/>
    <s v="BIH"/>
    <x v="9"/>
    <s v="GC.DOD.TOTL.GD.ZS"/>
    <n v="44.023571918688098"/>
    <n v="45.421636844736703"/>
    <n v="46.974819137829897"/>
    <n v="41.743510519896098"/>
    <n v="40.423774612512801"/>
    <n v="46.974819137829897"/>
  </r>
  <r>
    <x v="18"/>
    <s v="BIH"/>
    <x v="10"/>
    <s v="SE.COM.DURS"/>
    <n v="9"/>
    <n v="9"/>
    <n v="9"/>
    <n v="9"/>
    <n v="9"/>
    <n v="9"/>
  </r>
  <r>
    <x v="18"/>
    <s v="BIH"/>
    <x v="11"/>
    <s v="CC.PER.RNK"/>
    <n v="29.523809432983398"/>
    <n v="28.571428298950199"/>
    <n v="28.095237731933601"/>
    <n v="26.415094375610401"/>
    <n v="30.660377502441399"/>
    <n v="30.660377502441399"/>
  </r>
  <r>
    <x v="18"/>
    <s v="BIH"/>
    <x v="12"/>
    <s v="per_sa_allsa.cov_pop_tot"/>
    <m/>
    <m/>
    <m/>
    <m/>
    <m/>
    <n v="0"/>
  </r>
  <r>
    <x v="18"/>
    <s v="BIH"/>
    <x v="13"/>
    <s v="per_si_allsi.cov_q1_tot"/>
    <m/>
    <m/>
    <m/>
    <m/>
    <m/>
    <n v="0"/>
  </r>
  <r>
    <x v="18"/>
    <s v="BIH"/>
    <x v="14"/>
    <s v="SP.DYN.TO65.FE.ZS"/>
    <n v="89.015321999999998"/>
    <n v="88.083200000000005"/>
    <n v="86.680497000000003"/>
    <n v="88.203537999999995"/>
    <m/>
    <n v="89.015321999999998"/>
  </r>
  <r>
    <x v="18"/>
    <s v="BIH"/>
    <x v="15"/>
    <s v="SP.POP.TECH.RD.P6"/>
    <m/>
    <m/>
    <m/>
    <m/>
    <m/>
    <n v="0"/>
  </r>
  <r>
    <x v="18"/>
    <s v="BIH"/>
    <x v="16"/>
    <s v="IC.REG.DURS"/>
    <n v="80"/>
    <m/>
    <m/>
    <m/>
    <m/>
    <n v="80"/>
  </r>
  <r>
    <x v="19"/>
    <s v="BWA"/>
    <x v="0"/>
    <s v="FX.OWN.TOTL.ZS"/>
    <m/>
    <m/>
    <m/>
    <n v="58.76"/>
    <m/>
    <n v="58.76"/>
  </r>
  <r>
    <x v="19"/>
    <s v="BWA"/>
    <x v="1"/>
    <s v="FX.OWN.TOTL.FE.ZS"/>
    <m/>
    <m/>
    <m/>
    <n v="53.86"/>
    <m/>
    <n v="53.86"/>
  </r>
  <r>
    <x v="19"/>
    <s v="BWA"/>
    <x v="2"/>
    <s v="FX.OWN.TOTL.MA.ZS"/>
    <m/>
    <m/>
    <m/>
    <n v="64.290000000000006"/>
    <m/>
    <n v="64.290000000000006"/>
  </r>
  <r>
    <x v="19"/>
    <s v="BWA"/>
    <x v="3"/>
    <s v="FX.OWN.TOTL.40.ZS"/>
    <m/>
    <m/>
    <m/>
    <n v="47.59"/>
    <m/>
    <n v="47.59"/>
  </r>
  <r>
    <x v="19"/>
    <s v="BWA"/>
    <x v="4"/>
    <s v="FX.OWN.TOTL.YG.ZS"/>
    <m/>
    <m/>
    <m/>
    <n v="49.72"/>
    <m/>
    <n v="49.72"/>
  </r>
  <r>
    <x v="19"/>
    <s v="BWA"/>
    <x v="5"/>
    <s v="FX.OWN.TOTL.PL.ZS"/>
    <m/>
    <m/>
    <m/>
    <n v="43.8"/>
    <m/>
    <n v="43.8"/>
  </r>
  <r>
    <x v="19"/>
    <s v="BWA"/>
    <x v="6"/>
    <s v="SL.TLF.0714.WK.TM"/>
    <m/>
    <m/>
    <m/>
    <m/>
    <m/>
    <n v="0"/>
  </r>
  <r>
    <x v="19"/>
    <s v="BWA"/>
    <x v="7"/>
    <s v="IC.FRM.BRIB.ZS"/>
    <m/>
    <m/>
    <m/>
    <m/>
    <n v="6.1"/>
    <n v="6.1"/>
  </r>
  <r>
    <x v="19"/>
    <s v="BWA"/>
    <x v="8"/>
    <s v="IC.BUS.DISC.XQ"/>
    <n v="7"/>
    <m/>
    <m/>
    <m/>
    <m/>
    <n v="7"/>
  </r>
  <r>
    <x v="19"/>
    <s v="BWA"/>
    <x v="9"/>
    <s v="GC.DOD.TOTL.GD.ZS"/>
    <n v="16.193904309718"/>
    <n v="19.6160814562101"/>
    <m/>
    <m/>
    <m/>
    <n v="19.6160814562101"/>
  </r>
  <r>
    <x v="19"/>
    <s v="BWA"/>
    <x v="10"/>
    <s v="SE.COM.DURS"/>
    <m/>
    <m/>
    <m/>
    <m/>
    <m/>
    <n v="0"/>
  </r>
  <r>
    <x v="19"/>
    <s v="BWA"/>
    <x v="11"/>
    <s v="CC.PER.RNK"/>
    <n v="74.285713195800795"/>
    <n v="71.428573608398395"/>
    <n v="74.761901855468807"/>
    <n v="74.056602478027301"/>
    <n v="73.584907531738295"/>
    <n v="74.761901855468807"/>
  </r>
  <r>
    <x v="19"/>
    <s v="BWA"/>
    <x v="12"/>
    <s v="per_sa_allsa.cov_pop_tot"/>
    <m/>
    <m/>
    <m/>
    <m/>
    <m/>
    <n v="0"/>
  </r>
  <r>
    <x v="19"/>
    <s v="BWA"/>
    <x v="13"/>
    <s v="per_si_allsi.cov_q1_tot"/>
    <m/>
    <m/>
    <m/>
    <m/>
    <m/>
    <n v="0"/>
  </r>
  <r>
    <x v="19"/>
    <s v="BWA"/>
    <x v="14"/>
    <s v="SP.DYN.TO65.FE.ZS"/>
    <n v="70.681901999999994"/>
    <n v="72.101001999999994"/>
    <n v="61.837403000000002"/>
    <n v="74.133132000000003"/>
    <m/>
    <n v="74.133132000000003"/>
  </r>
  <r>
    <x v="19"/>
    <s v="BWA"/>
    <x v="15"/>
    <s v="SP.POP.TECH.RD.P6"/>
    <m/>
    <m/>
    <m/>
    <m/>
    <m/>
    <n v="0"/>
  </r>
  <r>
    <x v="19"/>
    <s v="BWA"/>
    <x v="16"/>
    <s v="IC.REG.DURS"/>
    <n v="48"/>
    <m/>
    <m/>
    <m/>
    <m/>
    <n v="48"/>
  </r>
  <r>
    <x v="20"/>
    <s v="BRA"/>
    <x v="0"/>
    <s v="FX.OWN.TOTL.ZS"/>
    <m/>
    <m/>
    <n v="84.04"/>
    <m/>
    <m/>
    <n v="84.04"/>
  </r>
  <r>
    <x v="20"/>
    <s v="BRA"/>
    <x v="1"/>
    <s v="FX.OWN.TOTL.FE.ZS"/>
    <m/>
    <m/>
    <n v="80.87"/>
    <m/>
    <m/>
    <n v="80.87"/>
  </r>
  <r>
    <x v="20"/>
    <s v="BRA"/>
    <x v="2"/>
    <s v="FX.OWN.TOTL.MA.ZS"/>
    <m/>
    <m/>
    <n v="87.05"/>
    <m/>
    <m/>
    <n v="87.05"/>
  </r>
  <r>
    <x v="20"/>
    <s v="BRA"/>
    <x v="3"/>
    <s v="FX.OWN.TOTL.40.ZS"/>
    <m/>
    <m/>
    <n v="81.98"/>
    <m/>
    <m/>
    <n v="81.98"/>
  </r>
  <r>
    <x v="20"/>
    <s v="BRA"/>
    <x v="4"/>
    <s v="FX.OWN.TOTL.YG.ZS"/>
    <m/>
    <m/>
    <n v="79.92"/>
    <m/>
    <m/>
    <n v="79.92"/>
  </r>
  <r>
    <x v="20"/>
    <s v="BRA"/>
    <x v="5"/>
    <s v="FX.OWN.TOTL.PL.ZS"/>
    <m/>
    <m/>
    <n v="81.28"/>
    <m/>
    <m/>
    <n v="81.28"/>
  </r>
  <r>
    <x v="20"/>
    <s v="BRA"/>
    <x v="6"/>
    <s v="SL.TLF.0714.WK.TM"/>
    <m/>
    <m/>
    <m/>
    <m/>
    <m/>
    <n v="0"/>
  </r>
  <r>
    <x v="20"/>
    <s v="BRA"/>
    <x v="7"/>
    <s v="IC.FRM.BRIB.ZS"/>
    <m/>
    <m/>
    <m/>
    <m/>
    <m/>
    <n v="0"/>
  </r>
  <r>
    <x v="20"/>
    <s v="BRA"/>
    <x v="8"/>
    <s v="IC.BUS.DISC.XQ"/>
    <n v="5"/>
    <m/>
    <m/>
    <m/>
    <m/>
    <n v="5"/>
  </r>
  <r>
    <x v="20"/>
    <s v="BRA"/>
    <x v="9"/>
    <s v="GC.DOD.TOTL.GD.ZS"/>
    <n v="92.565253188278206"/>
    <n v="98.709881954654506"/>
    <n v="85.011503670198493"/>
    <n v="79.102321887849499"/>
    <n v="83.6989369386242"/>
    <n v="98.709881954654506"/>
  </r>
  <r>
    <x v="20"/>
    <s v="BRA"/>
    <x v="10"/>
    <s v="SE.COM.DURS"/>
    <n v="14"/>
    <n v="14"/>
    <n v="14"/>
    <n v="14"/>
    <n v="14"/>
    <n v="14"/>
  </r>
  <r>
    <x v="20"/>
    <s v="BRA"/>
    <x v="11"/>
    <s v="CC.PER.RNK"/>
    <n v="39.523811340332003"/>
    <n v="37.619049072265597"/>
    <n v="34.285713195800803"/>
    <n v="32.075469970703097"/>
    <n v="34.433963775634801"/>
    <n v="39.523811340332003"/>
  </r>
  <r>
    <x v="20"/>
    <s v="BRA"/>
    <x v="12"/>
    <s v="per_sa_allsa.cov_pop_tot"/>
    <n v="21.999580967090601"/>
    <n v="51.6526428031477"/>
    <m/>
    <m/>
    <m/>
    <n v="51.6526428031477"/>
  </r>
  <r>
    <x v="20"/>
    <s v="BRA"/>
    <x v="13"/>
    <s v="per_si_allsi.cov_q1_tot"/>
    <n v="10.5398803410033"/>
    <n v="8.4526313135601203"/>
    <m/>
    <m/>
    <m/>
    <n v="10.5398803410033"/>
  </r>
  <r>
    <x v="20"/>
    <s v="BRA"/>
    <x v="14"/>
    <s v="SP.DYN.TO65.FE.ZS"/>
    <n v="86.473097999999993"/>
    <n v="85.023419000000004"/>
    <n v="81.256580999999997"/>
    <n v="85.014037999999999"/>
    <m/>
    <n v="86.473097999999993"/>
  </r>
  <r>
    <x v="20"/>
    <s v="BRA"/>
    <x v="15"/>
    <s v="SP.POP.TECH.RD.P6"/>
    <m/>
    <m/>
    <m/>
    <m/>
    <m/>
    <n v="0"/>
  </r>
  <r>
    <x v="20"/>
    <s v="BRA"/>
    <x v="16"/>
    <s v="IC.REG.DURS"/>
    <n v="16.600000000000001"/>
    <m/>
    <m/>
    <m/>
    <m/>
    <n v="16.600000000000001"/>
  </r>
  <r>
    <x v="21"/>
    <s v="BGR"/>
    <x v="0"/>
    <s v="FX.OWN.TOTL.ZS"/>
    <m/>
    <m/>
    <n v="83.97"/>
    <m/>
    <m/>
    <n v="83.97"/>
  </r>
  <r>
    <x v="21"/>
    <s v="BGR"/>
    <x v="1"/>
    <s v="FX.OWN.TOTL.FE.ZS"/>
    <m/>
    <m/>
    <n v="84.32"/>
    <m/>
    <m/>
    <n v="84.32"/>
  </r>
  <r>
    <x v="21"/>
    <s v="BGR"/>
    <x v="2"/>
    <s v="FX.OWN.TOTL.MA.ZS"/>
    <m/>
    <m/>
    <n v="83.59"/>
    <m/>
    <m/>
    <n v="83.59"/>
  </r>
  <r>
    <x v="21"/>
    <s v="BGR"/>
    <x v="3"/>
    <s v="FX.OWN.TOTL.40.ZS"/>
    <m/>
    <m/>
    <n v="73.87"/>
    <m/>
    <m/>
    <n v="73.87"/>
  </r>
  <r>
    <x v="21"/>
    <s v="BGR"/>
    <x v="4"/>
    <s v="FX.OWN.TOTL.YG.ZS"/>
    <m/>
    <m/>
    <n v="88.62"/>
    <m/>
    <m/>
    <n v="88.62"/>
  </r>
  <r>
    <x v="21"/>
    <s v="BGR"/>
    <x v="5"/>
    <s v="FX.OWN.TOTL.PL.ZS"/>
    <m/>
    <m/>
    <n v="70.95"/>
    <m/>
    <m/>
    <n v="70.95"/>
  </r>
  <r>
    <x v="21"/>
    <s v="BGR"/>
    <x v="6"/>
    <s v="SL.TLF.0714.WK.TM"/>
    <m/>
    <m/>
    <m/>
    <m/>
    <m/>
    <n v="0"/>
  </r>
  <r>
    <x v="21"/>
    <s v="BGR"/>
    <x v="7"/>
    <s v="IC.FRM.BRIB.ZS"/>
    <n v="10"/>
    <m/>
    <m/>
    <m/>
    <n v="0.9"/>
    <n v="10"/>
  </r>
  <r>
    <x v="21"/>
    <s v="BGR"/>
    <x v="8"/>
    <s v="IC.BUS.DISC.XQ"/>
    <n v="10"/>
    <m/>
    <m/>
    <m/>
    <m/>
    <n v="10"/>
  </r>
  <r>
    <x v="21"/>
    <s v="BGR"/>
    <x v="9"/>
    <s v="GC.DOD.TOTL.GD.ZS"/>
    <n v="27.034008142795301"/>
    <n v="32.101808122631802"/>
    <n v="32.749223603340901"/>
    <n v="30.1997861927243"/>
    <m/>
    <n v="32.749223603340901"/>
  </r>
  <r>
    <x v="21"/>
    <s v="BGR"/>
    <x v="10"/>
    <s v="SE.COM.DURS"/>
    <n v="11"/>
    <n v="11"/>
    <n v="11"/>
    <n v="11"/>
    <n v="11"/>
    <n v="11"/>
  </r>
  <r>
    <x v="21"/>
    <s v="BGR"/>
    <x v="11"/>
    <s v="CC.PER.RNK"/>
    <n v="49.523811340332003"/>
    <n v="43.809524536132798"/>
    <n v="48.095237731933601"/>
    <n v="50"/>
    <n v="50"/>
    <n v="50"/>
  </r>
  <r>
    <x v="21"/>
    <s v="BGR"/>
    <x v="12"/>
    <s v="per_sa_allsa.cov_pop_tot"/>
    <m/>
    <m/>
    <m/>
    <m/>
    <m/>
    <n v="0"/>
  </r>
  <r>
    <x v="21"/>
    <s v="BGR"/>
    <x v="13"/>
    <s v="per_si_allsi.cov_q1_tot"/>
    <m/>
    <m/>
    <m/>
    <m/>
    <m/>
    <n v="0"/>
  </r>
  <r>
    <x v="21"/>
    <s v="BGR"/>
    <x v="14"/>
    <s v="SP.DYN.TO65.FE.ZS"/>
    <n v="86.762874999999994"/>
    <n v="84.516228999999996"/>
    <n v="80.964346000000006"/>
    <n v="85.178349999999995"/>
    <m/>
    <n v="86.762874999999994"/>
  </r>
  <r>
    <x v="21"/>
    <s v="BGR"/>
    <x v="15"/>
    <s v="SP.POP.TECH.RD.P6"/>
    <m/>
    <m/>
    <m/>
    <m/>
    <m/>
    <n v="0"/>
  </r>
  <r>
    <x v="21"/>
    <s v="BGR"/>
    <x v="16"/>
    <s v="IC.REG.DURS"/>
    <n v="23"/>
    <m/>
    <m/>
    <m/>
    <m/>
    <n v="23"/>
  </r>
  <r>
    <x v="22"/>
    <s v="CPV"/>
    <x v="0"/>
    <s v="FX.OWN.TOTL.ZS"/>
    <m/>
    <m/>
    <m/>
    <m/>
    <m/>
    <n v="0"/>
  </r>
  <r>
    <x v="22"/>
    <s v="CPV"/>
    <x v="1"/>
    <s v="FX.OWN.TOTL.FE.ZS"/>
    <m/>
    <m/>
    <m/>
    <m/>
    <m/>
    <n v="0"/>
  </r>
  <r>
    <x v="22"/>
    <s v="CPV"/>
    <x v="2"/>
    <s v="FX.OWN.TOTL.MA.ZS"/>
    <m/>
    <m/>
    <m/>
    <m/>
    <m/>
    <n v="0"/>
  </r>
  <r>
    <x v="22"/>
    <s v="CPV"/>
    <x v="3"/>
    <s v="FX.OWN.TOTL.40.ZS"/>
    <m/>
    <m/>
    <m/>
    <m/>
    <m/>
    <n v="0"/>
  </r>
  <r>
    <x v="22"/>
    <s v="CPV"/>
    <x v="4"/>
    <s v="FX.OWN.TOTL.YG.ZS"/>
    <m/>
    <m/>
    <m/>
    <m/>
    <m/>
    <n v="0"/>
  </r>
  <r>
    <x v="22"/>
    <s v="CPV"/>
    <x v="5"/>
    <s v="FX.OWN.TOTL.PL.ZS"/>
    <m/>
    <m/>
    <m/>
    <m/>
    <m/>
    <n v="0"/>
  </r>
  <r>
    <x v="22"/>
    <s v="CPV"/>
    <x v="6"/>
    <s v="SL.TLF.0714.WK.TM"/>
    <m/>
    <m/>
    <m/>
    <m/>
    <m/>
    <n v="0"/>
  </r>
  <r>
    <x v="22"/>
    <s v="CPV"/>
    <x v="7"/>
    <s v="IC.FRM.BRIB.ZS"/>
    <m/>
    <m/>
    <m/>
    <m/>
    <m/>
    <n v="0"/>
  </r>
  <r>
    <x v="22"/>
    <s v="CPV"/>
    <x v="8"/>
    <s v="IC.BUS.DISC.XQ"/>
    <n v="1"/>
    <m/>
    <m/>
    <m/>
    <m/>
    <n v="1"/>
  </r>
  <r>
    <x v="22"/>
    <s v="CPV"/>
    <x v="9"/>
    <s v="GC.DOD.TOTL.GD.ZS"/>
    <m/>
    <m/>
    <m/>
    <m/>
    <m/>
    <n v="0"/>
  </r>
  <r>
    <x v="22"/>
    <s v="CPV"/>
    <x v="10"/>
    <s v="SE.COM.DURS"/>
    <n v="10"/>
    <n v="10"/>
    <n v="10"/>
    <n v="10"/>
    <n v="10"/>
    <n v="10"/>
  </r>
  <r>
    <x v="22"/>
    <s v="CPV"/>
    <x v="11"/>
    <s v="CC.PER.RNK"/>
    <n v="79.047622680664105"/>
    <n v="79.523811340332003"/>
    <n v="82.380950927734403"/>
    <n v="80.660377502441406"/>
    <n v="81.132072448730497"/>
    <n v="82.380950927734403"/>
  </r>
  <r>
    <x v="22"/>
    <s v="CPV"/>
    <x v="12"/>
    <s v="per_sa_allsa.cov_pop_tot"/>
    <m/>
    <m/>
    <m/>
    <m/>
    <m/>
    <n v="0"/>
  </r>
  <r>
    <x v="22"/>
    <s v="CPV"/>
    <x v="13"/>
    <s v="per_si_allsi.cov_q1_tot"/>
    <m/>
    <m/>
    <m/>
    <m/>
    <m/>
    <n v="0"/>
  </r>
  <r>
    <x v="22"/>
    <s v="CPV"/>
    <x v="14"/>
    <s v="SP.DYN.TO65.FE.ZS"/>
    <n v="89.538787999999997"/>
    <n v="87.065880000000007"/>
    <n v="87.924623999999994"/>
    <n v="89.803916999999998"/>
    <m/>
    <n v="89.803916999999998"/>
  </r>
  <r>
    <x v="22"/>
    <s v="CPV"/>
    <x v="15"/>
    <s v="SP.POP.TECH.RD.P6"/>
    <m/>
    <m/>
    <m/>
    <m/>
    <m/>
    <n v="0"/>
  </r>
  <r>
    <x v="22"/>
    <s v="CPV"/>
    <x v="16"/>
    <s v="IC.REG.DURS"/>
    <n v="9"/>
    <m/>
    <m/>
    <m/>
    <m/>
    <n v="9"/>
  </r>
  <r>
    <x v="23"/>
    <s v="KHM"/>
    <x v="0"/>
    <s v="FX.OWN.TOTL.ZS"/>
    <m/>
    <m/>
    <n v="33.39"/>
    <m/>
    <m/>
    <n v="33.39"/>
  </r>
  <r>
    <x v="23"/>
    <s v="KHM"/>
    <x v="1"/>
    <s v="FX.OWN.TOTL.FE.ZS"/>
    <m/>
    <m/>
    <n v="32.520000000000003"/>
    <m/>
    <m/>
    <n v="32.520000000000003"/>
  </r>
  <r>
    <x v="23"/>
    <s v="KHM"/>
    <x v="2"/>
    <s v="FX.OWN.TOTL.MA.ZS"/>
    <m/>
    <m/>
    <n v="34.409999999999997"/>
    <m/>
    <m/>
    <n v="34.409999999999997"/>
  </r>
  <r>
    <x v="23"/>
    <s v="KHM"/>
    <x v="3"/>
    <s v="FX.OWN.TOTL.40.ZS"/>
    <m/>
    <m/>
    <n v="23.35"/>
    <m/>
    <m/>
    <n v="23.35"/>
  </r>
  <r>
    <x v="23"/>
    <s v="KHM"/>
    <x v="4"/>
    <s v="FX.OWN.TOTL.YG.ZS"/>
    <m/>
    <m/>
    <n v="27.65"/>
    <m/>
    <m/>
    <n v="27.65"/>
  </r>
  <r>
    <x v="23"/>
    <s v="KHM"/>
    <x v="5"/>
    <s v="FX.OWN.TOTL.PL.ZS"/>
    <m/>
    <m/>
    <n v="28.77"/>
    <m/>
    <m/>
    <n v="28.77"/>
  </r>
  <r>
    <x v="23"/>
    <s v="KHM"/>
    <x v="6"/>
    <s v="SL.TLF.0714.WK.TM"/>
    <m/>
    <m/>
    <m/>
    <m/>
    <m/>
    <n v="0"/>
  </r>
  <r>
    <x v="23"/>
    <s v="KHM"/>
    <x v="7"/>
    <s v="IC.FRM.BRIB.ZS"/>
    <m/>
    <m/>
    <m/>
    <m/>
    <n v="27.1"/>
    <n v="27.1"/>
  </r>
  <r>
    <x v="23"/>
    <s v="KHM"/>
    <x v="8"/>
    <s v="IC.BUS.DISC.XQ"/>
    <n v="6"/>
    <m/>
    <m/>
    <m/>
    <m/>
    <n v="6"/>
  </r>
  <r>
    <x v="23"/>
    <s v="KHM"/>
    <x v="9"/>
    <s v="GC.DOD.TOTL.GD.ZS"/>
    <m/>
    <m/>
    <m/>
    <m/>
    <m/>
    <n v="0"/>
  </r>
  <r>
    <x v="23"/>
    <s v="KHM"/>
    <x v="10"/>
    <s v="SE.COM.DURS"/>
    <m/>
    <m/>
    <m/>
    <m/>
    <m/>
    <n v="0"/>
  </r>
  <r>
    <x v="23"/>
    <s v="KHM"/>
    <x v="11"/>
    <s v="CC.PER.RNK"/>
    <n v="9.5238094329834002"/>
    <n v="10.4761905670166"/>
    <n v="11.428571701049799"/>
    <n v="9.9056606292724592"/>
    <n v="9.4339618682861293"/>
    <n v="11.428571701049799"/>
  </r>
  <r>
    <x v="23"/>
    <s v="KHM"/>
    <x v="12"/>
    <s v="per_sa_allsa.cov_pop_tot"/>
    <m/>
    <m/>
    <m/>
    <m/>
    <m/>
    <n v="0"/>
  </r>
  <r>
    <x v="23"/>
    <s v="KHM"/>
    <x v="13"/>
    <s v="per_si_allsi.cov_q1_tot"/>
    <m/>
    <m/>
    <m/>
    <m/>
    <m/>
    <n v="0"/>
  </r>
  <r>
    <x v="23"/>
    <s v="KHM"/>
    <x v="14"/>
    <s v="SP.DYN.TO65.FE.ZS"/>
    <n v="78.154100999999997"/>
    <n v="78.328804000000005"/>
    <n v="76.407517999999996"/>
    <n v="78.957722000000004"/>
    <m/>
    <n v="78.957722000000004"/>
  </r>
  <r>
    <x v="23"/>
    <s v="KHM"/>
    <x v="15"/>
    <s v="SP.POP.TECH.RD.P6"/>
    <m/>
    <m/>
    <m/>
    <m/>
    <m/>
    <n v="0"/>
  </r>
  <r>
    <x v="23"/>
    <s v="KHM"/>
    <x v="16"/>
    <s v="IC.REG.DURS"/>
    <n v="99"/>
    <m/>
    <m/>
    <m/>
    <m/>
    <n v="99"/>
  </r>
  <r>
    <x v="24"/>
    <s v="CAN"/>
    <x v="0"/>
    <s v="FX.OWN.TOTL.ZS"/>
    <m/>
    <m/>
    <n v="99.63"/>
    <m/>
    <m/>
    <n v="99.63"/>
  </r>
  <r>
    <x v="24"/>
    <s v="CAN"/>
    <x v="1"/>
    <s v="FX.OWN.TOTL.FE.ZS"/>
    <m/>
    <m/>
    <n v="99.51"/>
    <m/>
    <m/>
    <n v="99.51"/>
  </r>
  <r>
    <x v="24"/>
    <s v="CAN"/>
    <x v="2"/>
    <s v="FX.OWN.TOTL.MA.ZS"/>
    <m/>
    <m/>
    <n v="99.77"/>
    <m/>
    <m/>
    <n v="99.77"/>
  </r>
  <r>
    <x v="24"/>
    <s v="CAN"/>
    <x v="3"/>
    <s v="FX.OWN.TOTL.40.ZS"/>
    <m/>
    <m/>
    <n v="99.37"/>
    <m/>
    <m/>
    <n v="99.37"/>
  </r>
  <r>
    <x v="24"/>
    <s v="CAN"/>
    <x v="4"/>
    <s v="FX.OWN.TOTL.YG.ZS"/>
    <m/>
    <m/>
    <n v="100"/>
    <m/>
    <m/>
    <n v="100"/>
  </r>
  <r>
    <x v="24"/>
    <s v="CAN"/>
    <x v="5"/>
    <s v="FX.OWN.TOTL.PL.ZS"/>
    <m/>
    <m/>
    <n v="90.16"/>
    <m/>
    <m/>
    <n v="90.16"/>
  </r>
  <r>
    <x v="24"/>
    <s v="CAN"/>
    <x v="6"/>
    <s v="SL.TLF.0714.WK.TM"/>
    <m/>
    <m/>
    <m/>
    <m/>
    <m/>
    <n v="0"/>
  </r>
  <r>
    <x v="24"/>
    <s v="CAN"/>
    <x v="7"/>
    <s v="IC.FRM.BRIB.ZS"/>
    <m/>
    <m/>
    <m/>
    <m/>
    <m/>
    <n v="0"/>
  </r>
  <r>
    <x v="24"/>
    <s v="CAN"/>
    <x v="8"/>
    <s v="IC.BUS.DISC.XQ"/>
    <n v="8"/>
    <m/>
    <m/>
    <m/>
    <m/>
    <n v="8"/>
  </r>
  <r>
    <x v="24"/>
    <s v="CAN"/>
    <x v="9"/>
    <s v="GC.DOD.TOTL.GD.ZS"/>
    <n v="53.362324691395898"/>
    <n v="74.554047104154606"/>
    <n v="71.073960231581907"/>
    <n v="61.417863575338302"/>
    <n v="62.228522823929701"/>
    <n v="74.554047104154606"/>
  </r>
  <r>
    <x v="24"/>
    <s v="CAN"/>
    <x v="10"/>
    <s v="SE.COM.DURS"/>
    <n v="10"/>
    <n v="10"/>
    <n v="10"/>
    <n v="10"/>
    <n v="10"/>
    <n v="10"/>
  </r>
  <r>
    <x v="24"/>
    <s v="CAN"/>
    <x v="11"/>
    <s v="CC.PER.RNK"/>
    <n v="92.857139587402301"/>
    <n v="91.904762268066406"/>
    <n v="92.380950927734403"/>
    <n v="93.396224975585895"/>
    <n v="94.811317443847699"/>
    <n v="94.811317443847699"/>
  </r>
  <r>
    <x v="24"/>
    <s v="CAN"/>
    <x v="12"/>
    <s v="per_sa_allsa.cov_pop_tot"/>
    <m/>
    <m/>
    <m/>
    <m/>
    <m/>
    <n v="0"/>
  </r>
  <r>
    <x v="24"/>
    <s v="CAN"/>
    <x v="13"/>
    <s v="per_si_allsi.cov_q1_tot"/>
    <m/>
    <m/>
    <m/>
    <m/>
    <m/>
    <n v="0"/>
  </r>
  <r>
    <x v="24"/>
    <s v="CAN"/>
    <x v="14"/>
    <s v="SP.DYN.TO65.FE.ZS"/>
    <n v="91.987767000000005"/>
    <n v="91.429300999999995"/>
    <n v="91.673878000000002"/>
    <n v="90.988348000000002"/>
    <m/>
    <n v="91.987767000000005"/>
  </r>
  <r>
    <x v="24"/>
    <s v="CAN"/>
    <x v="15"/>
    <s v="SP.POP.TECH.RD.P6"/>
    <m/>
    <m/>
    <m/>
    <m/>
    <m/>
    <n v="0"/>
  </r>
  <r>
    <x v="24"/>
    <s v="CAN"/>
    <x v="16"/>
    <s v="IC.REG.DURS"/>
    <n v="1.5"/>
    <m/>
    <m/>
    <m/>
    <m/>
    <n v="1.5"/>
  </r>
  <r>
    <x v="25"/>
    <s v="CHL"/>
    <x v="0"/>
    <s v="FX.OWN.TOTL.ZS"/>
    <m/>
    <m/>
    <n v="87.06"/>
    <m/>
    <m/>
    <n v="87.06"/>
  </r>
  <r>
    <x v="25"/>
    <s v="CHL"/>
    <x v="1"/>
    <s v="FX.OWN.TOTL.FE.ZS"/>
    <m/>
    <m/>
    <n v="86.62"/>
    <m/>
    <m/>
    <n v="86.62"/>
  </r>
  <r>
    <x v="25"/>
    <s v="CHL"/>
    <x v="2"/>
    <s v="FX.OWN.TOTL.MA.ZS"/>
    <m/>
    <m/>
    <n v="87.56"/>
    <m/>
    <m/>
    <n v="87.56"/>
  </r>
  <r>
    <x v="25"/>
    <s v="CHL"/>
    <x v="3"/>
    <s v="FX.OWN.TOTL.40.ZS"/>
    <m/>
    <m/>
    <n v="86.43"/>
    <m/>
    <m/>
    <n v="86.43"/>
  </r>
  <r>
    <x v="25"/>
    <s v="CHL"/>
    <x v="4"/>
    <s v="FX.OWN.TOTL.YG.ZS"/>
    <m/>
    <m/>
    <n v="90"/>
    <m/>
    <m/>
    <n v="90"/>
  </r>
  <r>
    <x v="25"/>
    <s v="CHL"/>
    <x v="5"/>
    <s v="FX.OWN.TOTL.PL.ZS"/>
    <m/>
    <m/>
    <n v="68.849999999999994"/>
    <m/>
    <m/>
    <n v="68.849999999999994"/>
  </r>
  <r>
    <x v="25"/>
    <s v="CHL"/>
    <x v="6"/>
    <s v="SL.TLF.0714.WK.TM"/>
    <m/>
    <m/>
    <m/>
    <m/>
    <m/>
    <n v="0"/>
  </r>
  <r>
    <x v="25"/>
    <s v="CHL"/>
    <x v="7"/>
    <s v="IC.FRM.BRIB.ZS"/>
    <m/>
    <m/>
    <m/>
    <m/>
    <m/>
    <n v="0"/>
  </r>
  <r>
    <x v="25"/>
    <s v="CHL"/>
    <x v="8"/>
    <s v="IC.BUS.DISC.XQ"/>
    <n v="8"/>
    <m/>
    <m/>
    <m/>
    <m/>
    <n v="8"/>
  </r>
  <r>
    <x v="25"/>
    <s v="CHL"/>
    <x v="9"/>
    <s v="GC.DOD.TOTL.GD.ZS"/>
    <m/>
    <m/>
    <m/>
    <m/>
    <m/>
    <n v="0"/>
  </r>
  <r>
    <x v="25"/>
    <s v="CHL"/>
    <x v="10"/>
    <s v="SE.COM.DURS"/>
    <n v="12"/>
    <n v="12"/>
    <n v="12"/>
    <n v="12"/>
    <n v="12"/>
    <n v="12"/>
  </r>
  <r>
    <x v="25"/>
    <s v="CHL"/>
    <x v="11"/>
    <s v="CC.PER.RNK"/>
    <n v="80.476188659667997"/>
    <n v="82.857139587402301"/>
    <n v="80.952377319335895"/>
    <n v="81.132072448730497"/>
    <n v="80.660377502441406"/>
    <n v="82.857139587402301"/>
  </r>
  <r>
    <x v="25"/>
    <s v="CHL"/>
    <x v="12"/>
    <s v="per_sa_allsa.cov_pop_tot"/>
    <m/>
    <n v="63.4004438871983"/>
    <m/>
    <m/>
    <m/>
    <n v="63.4004438871983"/>
  </r>
  <r>
    <x v="25"/>
    <s v="CHL"/>
    <x v="13"/>
    <s v="per_si_allsi.cov_q1_tot"/>
    <m/>
    <n v="39.588046796341303"/>
    <m/>
    <m/>
    <m/>
    <n v="39.588046796341303"/>
  </r>
  <r>
    <x v="25"/>
    <s v="CHL"/>
    <x v="14"/>
    <s v="SP.DYN.TO65.FE.ZS"/>
    <n v="90.014143000000004"/>
    <n v="89.795204999999996"/>
    <n v="88.964715999999996"/>
    <n v="89.209778"/>
    <m/>
    <n v="90.014143000000004"/>
  </r>
  <r>
    <x v="25"/>
    <s v="CHL"/>
    <x v="15"/>
    <s v="SP.POP.TECH.RD.P6"/>
    <m/>
    <m/>
    <m/>
    <m/>
    <m/>
    <n v="0"/>
  </r>
  <r>
    <x v="25"/>
    <s v="CHL"/>
    <x v="16"/>
    <s v="IC.REG.DURS"/>
    <n v="4"/>
    <m/>
    <m/>
    <m/>
    <m/>
    <n v="4"/>
  </r>
  <r>
    <x v="26"/>
    <s v="CHN"/>
    <x v="0"/>
    <s v="FX.OWN.TOTL.ZS"/>
    <m/>
    <m/>
    <n v="88.71"/>
    <m/>
    <m/>
    <n v="88.71"/>
  </r>
  <r>
    <x v="26"/>
    <s v="CHN"/>
    <x v="1"/>
    <s v="FX.OWN.TOTL.FE.ZS"/>
    <m/>
    <m/>
    <n v="87.34"/>
    <m/>
    <m/>
    <n v="87.34"/>
  </r>
  <r>
    <x v="26"/>
    <s v="CHN"/>
    <x v="2"/>
    <s v="FX.OWN.TOTL.MA.ZS"/>
    <m/>
    <m/>
    <n v="89.92"/>
    <m/>
    <m/>
    <n v="89.92"/>
  </r>
  <r>
    <x v="26"/>
    <s v="CHN"/>
    <x v="3"/>
    <s v="FX.OWN.TOTL.40.ZS"/>
    <m/>
    <m/>
    <n v="83.08"/>
    <m/>
    <m/>
    <n v="83.08"/>
  </r>
  <r>
    <x v="26"/>
    <s v="CHN"/>
    <x v="4"/>
    <s v="FX.OWN.TOTL.YG.ZS"/>
    <m/>
    <m/>
    <n v="88.47"/>
    <m/>
    <m/>
    <n v="88.47"/>
  </r>
  <r>
    <x v="26"/>
    <s v="CHN"/>
    <x v="5"/>
    <s v="FX.OWN.TOTL.PL.ZS"/>
    <m/>
    <m/>
    <n v="83.02"/>
    <m/>
    <m/>
    <n v="83.02"/>
  </r>
  <r>
    <x v="26"/>
    <s v="CHN"/>
    <x v="6"/>
    <s v="SL.TLF.0714.WK.TM"/>
    <m/>
    <m/>
    <m/>
    <m/>
    <m/>
    <n v="0"/>
  </r>
  <r>
    <x v="26"/>
    <s v="CHN"/>
    <x v="7"/>
    <s v="IC.FRM.BRIB.ZS"/>
    <m/>
    <m/>
    <m/>
    <m/>
    <m/>
    <n v="0"/>
  </r>
  <r>
    <x v="26"/>
    <s v="CHN"/>
    <x v="8"/>
    <s v="IC.BUS.DISC.XQ"/>
    <n v="10"/>
    <m/>
    <m/>
    <m/>
    <m/>
    <n v="10"/>
  </r>
  <r>
    <x v="26"/>
    <s v="CHN"/>
    <x v="9"/>
    <s v="GC.DOD.TOTL.GD.ZS"/>
    <m/>
    <m/>
    <m/>
    <m/>
    <m/>
    <n v="0"/>
  </r>
  <r>
    <x v="26"/>
    <s v="CHN"/>
    <x v="10"/>
    <s v="SE.COM.DURS"/>
    <n v="9"/>
    <n v="9"/>
    <n v="9"/>
    <n v="9"/>
    <n v="9"/>
    <n v="9"/>
  </r>
  <r>
    <x v="26"/>
    <s v="CHN"/>
    <x v="11"/>
    <s v="CC.PER.RNK"/>
    <n v="43.809524536132798"/>
    <n v="52.857143402099602"/>
    <n v="56.190475463867202"/>
    <n v="55.188678741455099"/>
    <n v="54.245281219482401"/>
    <n v="56.190475463867202"/>
  </r>
  <r>
    <x v="26"/>
    <s v="CHN"/>
    <x v="12"/>
    <s v="per_sa_allsa.cov_pop_tot"/>
    <m/>
    <m/>
    <m/>
    <m/>
    <m/>
    <n v="0"/>
  </r>
  <r>
    <x v="26"/>
    <s v="CHN"/>
    <x v="13"/>
    <s v="per_si_allsi.cov_q1_tot"/>
    <m/>
    <m/>
    <m/>
    <m/>
    <m/>
    <n v="0"/>
  </r>
  <r>
    <x v="26"/>
    <s v="CHN"/>
    <x v="14"/>
    <s v="SP.DYN.TO65.FE.ZS"/>
    <n v="90.152664000000001"/>
    <n v="90.394112000000007"/>
    <n v="90.254380999999995"/>
    <n v="90.559517"/>
    <m/>
    <n v="90.559517"/>
  </r>
  <r>
    <x v="26"/>
    <s v="CHN"/>
    <x v="15"/>
    <s v="SP.POP.TECH.RD.P6"/>
    <m/>
    <m/>
    <m/>
    <m/>
    <m/>
    <n v="0"/>
  </r>
  <r>
    <x v="26"/>
    <s v="CHN"/>
    <x v="16"/>
    <s v="IC.REG.DURS"/>
    <n v="8.6"/>
    <m/>
    <m/>
    <m/>
    <m/>
    <n v="8.6"/>
  </r>
  <r>
    <x v="27"/>
    <s v="COL"/>
    <x v="0"/>
    <s v="FX.OWN.TOTL.ZS"/>
    <m/>
    <m/>
    <n v="59.72"/>
    <m/>
    <m/>
    <n v="59.72"/>
  </r>
  <r>
    <x v="27"/>
    <s v="COL"/>
    <x v="1"/>
    <s v="FX.OWN.TOTL.FE.ZS"/>
    <m/>
    <m/>
    <n v="56.2"/>
    <m/>
    <m/>
    <n v="56.2"/>
  </r>
  <r>
    <x v="27"/>
    <s v="COL"/>
    <x v="2"/>
    <s v="FX.OWN.TOTL.MA.ZS"/>
    <m/>
    <m/>
    <n v="63.51"/>
    <m/>
    <m/>
    <n v="63.51"/>
  </r>
  <r>
    <x v="27"/>
    <s v="COL"/>
    <x v="3"/>
    <s v="FX.OWN.TOTL.40.ZS"/>
    <m/>
    <m/>
    <n v="47.67"/>
    <m/>
    <m/>
    <n v="47.67"/>
  </r>
  <r>
    <x v="27"/>
    <s v="COL"/>
    <x v="4"/>
    <s v="FX.OWN.TOTL.YG.ZS"/>
    <m/>
    <m/>
    <n v="50"/>
    <m/>
    <m/>
    <n v="50"/>
  </r>
  <r>
    <x v="27"/>
    <s v="COL"/>
    <x v="5"/>
    <s v="FX.OWN.TOTL.PL.ZS"/>
    <m/>
    <m/>
    <n v="48.08"/>
    <m/>
    <m/>
    <n v="48.08"/>
  </r>
  <r>
    <x v="27"/>
    <s v="COL"/>
    <x v="6"/>
    <s v="SL.TLF.0714.WK.TM"/>
    <m/>
    <m/>
    <m/>
    <m/>
    <m/>
    <n v="0"/>
  </r>
  <r>
    <x v="27"/>
    <s v="COL"/>
    <x v="7"/>
    <s v="IC.FRM.BRIB.ZS"/>
    <m/>
    <m/>
    <m/>
    <m/>
    <n v="2.7"/>
    <n v="2.7"/>
  </r>
  <r>
    <x v="27"/>
    <s v="COL"/>
    <x v="8"/>
    <s v="IC.BUS.DISC.XQ"/>
    <n v="9"/>
    <m/>
    <m/>
    <m/>
    <m/>
    <n v="9"/>
  </r>
  <r>
    <x v="27"/>
    <s v="COL"/>
    <x v="9"/>
    <s v="GC.DOD.TOTL.GD.ZS"/>
    <n v="72.703878577082193"/>
    <n v="91.156606944973603"/>
    <n v="80.366651617408806"/>
    <n v="70.140184011491399"/>
    <m/>
    <n v="91.156606944973603"/>
  </r>
  <r>
    <x v="27"/>
    <s v="COL"/>
    <x v="10"/>
    <s v="SE.COM.DURS"/>
    <n v="12"/>
    <n v="12"/>
    <n v="12"/>
    <n v="12"/>
    <n v="12"/>
    <n v="12"/>
  </r>
  <r>
    <x v="27"/>
    <s v="COL"/>
    <x v="11"/>
    <s v="CC.PER.RNK"/>
    <n v="46.190475463867202"/>
    <n v="45.714286804199197"/>
    <n v="41.904762268066399"/>
    <n v="41.509433746337898"/>
    <n v="44.811321258544901"/>
    <n v="46.190475463867202"/>
  </r>
  <r>
    <x v="27"/>
    <s v="COL"/>
    <x v="12"/>
    <s v="per_sa_allsa.cov_pop_tot"/>
    <n v="21.237227253477698"/>
    <n v="20.908377855017299"/>
    <m/>
    <m/>
    <m/>
    <n v="21.237227253477698"/>
  </r>
  <r>
    <x v="27"/>
    <s v="COL"/>
    <x v="13"/>
    <s v="per_si_allsi.cov_q1_tot"/>
    <n v="0.57035338692373205"/>
    <n v="0.51034614872206097"/>
    <m/>
    <m/>
    <m/>
    <n v="0.57035338692373205"/>
  </r>
  <r>
    <x v="27"/>
    <s v="COL"/>
    <x v="14"/>
    <s v="SP.DYN.TO65.FE.ZS"/>
    <n v="88.044751000000005"/>
    <n v="85.828337000000005"/>
    <n v="82.277355999999997"/>
    <n v="87.721885"/>
    <m/>
    <n v="88.044751000000005"/>
  </r>
  <r>
    <x v="27"/>
    <s v="COL"/>
    <x v="15"/>
    <s v="SP.POP.TECH.RD.P6"/>
    <m/>
    <m/>
    <m/>
    <m/>
    <m/>
    <n v="0"/>
  </r>
  <r>
    <x v="27"/>
    <s v="COL"/>
    <x v="16"/>
    <s v="IC.REG.DURS"/>
    <n v="10"/>
    <m/>
    <m/>
    <m/>
    <m/>
    <n v="10"/>
  </r>
  <r>
    <x v="28"/>
    <s v="CRI"/>
    <x v="0"/>
    <s v="FX.OWN.TOTL.ZS"/>
    <m/>
    <m/>
    <n v="68.489999999999995"/>
    <m/>
    <m/>
    <n v="68.489999999999995"/>
  </r>
  <r>
    <x v="28"/>
    <s v="CRI"/>
    <x v="1"/>
    <s v="FX.OWN.TOTL.FE.ZS"/>
    <m/>
    <m/>
    <n v="61.08"/>
    <m/>
    <m/>
    <n v="61.08"/>
  </r>
  <r>
    <x v="28"/>
    <s v="CRI"/>
    <x v="2"/>
    <s v="FX.OWN.TOTL.MA.ZS"/>
    <m/>
    <m/>
    <n v="76.34"/>
    <m/>
    <m/>
    <n v="76.34"/>
  </r>
  <r>
    <x v="28"/>
    <s v="CRI"/>
    <x v="3"/>
    <s v="FX.OWN.TOTL.40.ZS"/>
    <m/>
    <m/>
    <n v="57.23"/>
    <m/>
    <m/>
    <n v="57.23"/>
  </r>
  <r>
    <x v="28"/>
    <s v="CRI"/>
    <x v="4"/>
    <s v="FX.OWN.TOTL.YG.ZS"/>
    <m/>
    <m/>
    <n v="77.040000000000006"/>
    <m/>
    <m/>
    <n v="77.040000000000006"/>
  </r>
  <r>
    <x v="28"/>
    <s v="CRI"/>
    <x v="5"/>
    <s v="FX.OWN.TOTL.PL.ZS"/>
    <m/>
    <m/>
    <n v="51.75"/>
    <m/>
    <m/>
    <n v="51.75"/>
  </r>
  <r>
    <x v="28"/>
    <s v="CRI"/>
    <x v="6"/>
    <s v="SL.TLF.0714.WK.TM"/>
    <m/>
    <m/>
    <m/>
    <m/>
    <m/>
    <n v="0"/>
  </r>
  <r>
    <x v="28"/>
    <s v="CRI"/>
    <x v="7"/>
    <s v="IC.FRM.BRIB.ZS"/>
    <m/>
    <m/>
    <m/>
    <m/>
    <n v="5.6"/>
    <n v="5.6"/>
  </r>
  <r>
    <x v="28"/>
    <s v="CRI"/>
    <x v="8"/>
    <s v="IC.BUS.DISC.XQ"/>
    <n v="5"/>
    <m/>
    <m/>
    <m/>
    <m/>
    <n v="5"/>
  </r>
  <r>
    <x v="28"/>
    <s v="CRI"/>
    <x v="9"/>
    <s v="GC.DOD.TOTL.GD.ZS"/>
    <m/>
    <m/>
    <m/>
    <n v="71.111576412909301"/>
    <m/>
    <n v="71.111576412909301"/>
  </r>
  <r>
    <x v="28"/>
    <s v="CRI"/>
    <x v="10"/>
    <s v="SE.COM.DURS"/>
    <n v="13"/>
    <n v="13"/>
    <n v="13"/>
    <n v="13"/>
    <n v="13"/>
    <n v="13"/>
  </r>
  <r>
    <x v="28"/>
    <s v="CRI"/>
    <x v="11"/>
    <s v="CC.PER.RNK"/>
    <n v="71.904762268066406"/>
    <n v="74.285713195800795"/>
    <n v="66.666664123535199"/>
    <n v="66.981132507324205"/>
    <n v="72.641510009765597"/>
    <n v="74.285713195800795"/>
  </r>
  <r>
    <x v="28"/>
    <s v="CRI"/>
    <x v="12"/>
    <s v="per_sa_allsa.cov_pop_tot"/>
    <n v="54.179787980318402"/>
    <n v="68.879066876543803"/>
    <m/>
    <m/>
    <m/>
    <n v="68.879066876543803"/>
  </r>
  <r>
    <x v="28"/>
    <s v="CRI"/>
    <x v="13"/>
    <s v="per_si_allsi.cov_q1_tot"/>
    <n v="6.9619393222924302"/>
    <n v="7.2438669038614796"/>
    <m/>
    <m/>
    <m/>
    <n v="7.2438669038614796"/>
  </r>
  <r>
    <x v="28"/>
    <s v="CRI"/>
    <x v="14"/>
    <s v="SP.DYN.TO65.FE.ZS"/>
    <n v="90.339671999999993"/>
    <n v="89.650944999999993"/>
    <n v="87.697734999999994"/>
    <n v="89.994337999999999"/>
    <m/>
    <n v="90.339671999999993"/>
  </r>
  <r>
    <x v="28"/>
    <s v="CRI"/>
    <x v="15"/>
    <s v="SP.POP.TECH.RD.P6"/>
    <m/>
    <m/>
    <m/>
    <m/>
    <m/>
    <n v="0"/>
  </r>
  <r>
    <x v="28"/>
    <s v="CRI"/>
    <x v="16"/>
    <s v="IC.REG.DURS"/>
    <n v="23"/>
    <m/>
    <m/>
    <m/>
    <m/>
    <n v="23"/>
  </r>
  <r>
    <x v="29"/>
    <s v="CIV"/>
    <x v="0"/>
    <s v="FX.OWN.TOTL.ZS"/>
    <m/>
    <m/>
    <n v="50.76"/>
    <m/>
    <m/>
    <n v="50.76"/>
  </r>
  <r>
    <x v="29"/>
    <s v="CIV"/>
    <x v="1"/>
    <s v="FX.OWN.TOTL.FE.ZS"/>
    <m/>
    <m/>
    <n v="37.44"/>
    <m/>
    <m/>
    <n v="37.44"/>
  </r>
  <r>
    <x v="29"/>
    <s v="CIV"/>
    <x v="2"/>
    <s v="FX.OWN.TOTL.MA.ZS"/>
    <m/>
    <m/>
    <n v="64.010000000000005"/>
    <m/>
    <m/>
    <n v="64.010000000000005"/>
  </r>
  <r>
    <x v="29"/>
    <s v="CIV"/>
    <x v="3"/>
    <s v="FX.OWN.TOTL.40.ZS"/>
    <m/>
    <m/>
    <n v="44.01"/>
    <m/>
    <m/>
    <n v="44.01"/>
  </r>
  <r>
    <x v="29"/>
    <s v="CIV"/>
    <x v="4"/>
    <s v="FX.OWN.TOTL.YG.ZS"/>
    <m/>
    <m/>
    <n v="39.979999999999997"/>
    <m/>
    <m/>
    <n v="39.979999999999997"/>
  </r>
  <r>
    <x v="29"/>
    <s v="CIV"/>
    <x v="5"/>
    <s v="FX.OWN.TOTL.PL.ZS"/>
    <m/>
    <m/>
    <n v="43.99"/>
    <m/>
    <m/>
    <n v="43.99"/>
  </r>
  <r>
    <x v="29"/>
    <s v="CIV"/>
    <x v="6"/>
    <s v="SL.TLF.0714.WK.TM"/>
    <m/>
    <m/>
    <m/>
    <m/>
    <m/>
    <n v="0"/>
  </r>
  <r>
    <x v="29"/>
    <s v="CIV"/>
    <x v="7"/>
    <s v="IC.FRM.BRIB.ZS"/>
    <m/>
    <m/>
    <m/>
    <m/>
    <n v="19.8"/>
    <n v="19.8"/>
  </r>
  <r>
    <x v="29"/>
    <s v="CIV"/>
    <x v="8"/>
    <s v="IC.BUS.DISC.XQ"/>
    <n v="7"/>
    <m/>
    <m/>
    <m/>
    <m/>
    <n v="7"/>
  </r>
  <r>
    <x v="29"/>
    <s v="CIV"/>
    <x v="9"/>
    <s v="GC.DOD.TOTL.GD.ZS"/>
    <m/>
    <m/>
    <m/>
    <m/>
    <m/>
    <n v="0"/>
  </r>
  <r>
    <x v="29"/>
    <s v="CIV"/>
    <x v="10"/>
    <s v="SE.COM.DURS"/>
    <n v="10"/>
    <n v="10"/>
    <n v="10"/>
    <n v="10"/>
    <n v="10"/>
    <n v="10"/>
  </r>
  <r>
    <x v="29"/>
    <s v="CIV"/>
    <x v="11"/>
    <s v="CC.PER.RNK"/>
    <n v="32.380950927734403"/>
    <n v="32.380950927734403"/>
    <n v="40"/>
    <n v="42.924530029296903"/>
    <n v="44.339622497558601"/>
    <n v="44.339622497558601"/>
  </r>
  <r>
    <x v="29"/>
    <s v="CIV"/>
    <x v="12"/>
    <s v="per_sa_allsa.cov_pop_tot"/>
    <m/>
    <m/>
    <m/>
    <m/>
    <m/>
    <n v="0"/>
  </r>
  <r>
    <x v="29"/>
    <s v="CIV"/>
    <x v="13"/>
    <s v="per_si_allsi.cov_q1_tot"/>
    <m/>
    <m/>
    <m/>
    <m/>
    <m/>
    <n v="0"/>
  </r>
  <r>
    <x v="29"/>
    <s v="CIV"/>
    <x v="14"/>
    <s v="SP.DYN.TO65.FE.ZS"/>
    <n v="57.192866000000002"/>
    <n v="56.669364999999999"/>
    <n v="55.988821000000002"/>
    <n v="59.718358000000002"/>
    <m/>
    <n v="59.718358000000002"/>
  </r>
  <r>
    <x v="29"/>
    <s v="CIV"/>
    <x v="15"/>
    <s v="SP.POP.TECH.RD.P6"/>
    <m/>
    <m/>
    <m/>
    <m/>
    <m/>
    <n v="0"/>
  </r>
  <r>
    <x v="29"/>
    <s v="CIV"/>
    <x v="16"/>
    <s v="IC.REG.DURS"/>
    <n v="6"/>
    <m/>
    <m/>
    <m/>
    <m/>
    <n v="6"/>
  </r>
  <r>
    <x v="30"/>
    <s v="HRV"/>
    <x v="0"/>
    <s v="FX.OWN.TOTL.ZS"/>
    <m/>
    <m/>
    <n v="91.8"/>
    <m/>
    <m/>
    <n v="91.8"/>
  </r>
  <r>
    <x v="30"/>
    <s v="HRV"/>
    <x v="1"/>
    <s v="FX.OWN.TOTL.FE.ZS"/>
    <m/>
    <m/>
    <n v="89.96"/>
    <m/>
    <m/>
    <n v="89.96"/>
  </r>
  <r>
    <x v="30"/>
    <s v="HRV"/>
    <x v="2"/>
    <s v="FX.OWN.TOTL.MA.ZS"/>
    <m/>
    <m/>
    <n v="93.93"/>
    <m/>
    <m/>
    <n v="93.93"/>
  </r>
  <r>
    <x v="30"/>
    <s v="HRV"/>
    <x v="3"/>
    <s v="FX.OWN.TOTL.40.ZS"/>
    <m/>
    <m/>
    <n v="84.46"/>
    <m/>
    <m/>
    <n v="84.46"/>
  </r>
  <r>
    <x v="30"/>
    <s v="HRV"/>
    <x v="4"/>
    <s v="FX.OWN.TOTL.YG.ZS"/>
    <m/>
    <m/>
    <n v="76.11"/>
    <m/>
    <m/>
    <n v="76.11"/>
  </r>
  <r>
    <x v="30"/>
    <s v="HRV"/>
    <x v="5"/>
    <s v="FX.OWN.TOTL.PL.ZS"/>
    <m/>
    <m/>
    <n v="80.25"/>
    <m/>
    <m/>
    <n v="80.25"/>
  </r>
  <r>
    <x v="30"/>
    <s v="HRV"/>
    <x v="6"/>
    <s v="SL.TLF.0714.WK.TM"/>
    <m/>
    <m/>
    <m/>
    <m/>
    <m/>
    <n v="0"/>
  </r>
  <r>
    <x v="30"/>
    <s v="HRV"/>
    <x v="7"/>
    <s v="IC.FRM.BRIB.ZS"/>
    <n v="10.1"/>
    <m/>
    <m/>
    <m/>
    <n v="6.8"/>
    <n v="10.1"/>
  </r>
  <r>
    <x v="30"/>
    <s v="HRV"/>
    <x v="8"/>
    <s v="IC.BUS.DISC.XQ"/>
    <n v="5"/>
    <m/>
    <m/>
    <m/>
    <m/>
    <n v="5"/>
  </r>
  <r>
    <x v="30"/>
    <s v="HRV"/>
    <x v="9"/>
    <s v="GC.DOD.TOTL.GD.ZS"/>
    <n v="81.682517207419394"/>
    <n v="98.4395620234109"/>
    <n v="91.104015858545594"/>
    <n v="83.000255443071694"/>
    <m/>
    <n v="98.4395620234109"/>
  </r>
  <r>
    <x v="30"/>
    <s v="HRV"/>
    <x v="10"/>
    <s v="SE.COM.DURS"/>
    <n v="8"/>
    <n v="8"/>
    <n v="8"/>
    <n v="8"/>
    <n v="8"/>
    <n v="8"/>
  </r>
  <r>
    <x v="30"/>
    <s v="HRV"/>
    <x v="11"/>
    <s v="CC.PER.RNK"/>
    <n v="58.095237731933601"/>
    <n v="59.523811340332003"/>
    <n v="56.666667938232401"/>
    <n v="59.9056587219238"/>
    <n v="59.9056587219238"/>
    <n v="59.9056587219238"/>
  </r>
  <r>
    <x v="30"/>
    <s v="HRV"/>
    <x v="12"/>
    <s v="per_sa_allsa.cov_pop_tot"/>
    <m/>
    <m/>
    <m/>
    <m/>
    <m/>
    <n v="0"/>
  </r>
  <r>
    <x v="30"/>
    <s v="HRV"/>
    <x v="13"/>
    <s v="per_si_allsi.cov_q1_tot"/>
    <m/>
    <m/>
    <m/>
    <m/>
    <m/>
    <n v="0"/>
  </r>
  <r>
    <x v="30"/>
    <s v="HRV"/>
    <x v="14"/>
    <s v="SP.DYN.TO65.FE.ZS"/>
    <n v="91.108317"/>
    <n v="90.836464000000007"/>
    <n v="89.532981000000007"/>
    <n v="91.201190999999994"/>
    <m/>
    <n v="91.201190999999994"/>
  </r>
  <r>
    <x v="30"/>
    <s v="HRV"/>
    <x v="15"/>
    <s v="SP.POP.TECH.RD.P6"/>
    <m/>
    <m/>
    <m/>
    <m/>
    <m/>
    <n v="0"/>
  </r>
  <r>
    <x v="30"/>
    <s v="HRV"/>
    <x v="16"/>
    <s v="IC.REG.DURS"/>
    <n v="19.5"/>
    <m/>
    <m/>
    <m/>
    <m/>
    <n v="19.5"/>
  </r>
  <r>
    <x v="31"/>
    <s v="CUW"/>
    <x v="0"/>
    <s v="FX.OWN.TOTL.ZS"/>
    <m/>
    <m/>
    <m/>
    <m/>
    <m/>
    <n v="0"/>
  </r>
  <r>
    <x v="31"/>
    <s v="CUW"/>
    <x v="1"/>
    <s v="FX.OWN.TOTL.FE.ZS"/>
    <m/>
    <m/>
    <m/>
    <m/>
    <m/>
    <n v="0"/>
  </r>
  <r>
    <x v="31"/>
    <s v="CUW"/>
    <x v="2"/>
    <s v="FX.OWN.TOTL.MA.ZS"/>
    <m/>
    <m/>
    <m/>
    <m/>
    <m/>
    <n v="0"/>
  </r>
  <r>
    <x v="31"/>
    <s v="CUW"/>
    <x v="3"/>
    <s v="FX.OWN.TOTL.40.ZS"/>
    <m/>
    <m/>
    <m/>
    <m/>
    <m/>
    <n v="0"/>
  </r>
  <r>
    <x v="31"/>
    <s v="CUW"/>
    <x v="4"/>
    <s v="FX.OWN.TOTL.YG.ZS"/>
    <m/>
    <m/>
    <m/>
    <m/>
    <m/>
    <n v="0"/>
  </r>
  <r>
    <x v="31"/>
    <s v="CUW"/>
    <x v="5"/>
    <s v="FX.OWN.TOTL.PL.ZS"/>
    <m/>
    <m/>
    <m/>
    <m/>
    <m/>
    <n v="0"/>
  </r>
  <r>
    <x v="31"/>
    <s v="CUW"/>
    <x v="6"/>
    <s v="SL.TLF.0714.WK.TM"/>
    <m/>
    <m/>
    <m/>
    <m/>
    <m/>
    <n v="0"/>
  </r>
  <r>
    <x v="31"/>
    <s v="CUW"/>
    <x v="7"/>
    <s v="IC.FRM.BRIB.ZS"/>
    <m/>
    <m/>
    <m/>
    <m/>
    <m/>
    <n v="0"/>
  </r>
  <r>
    <x v="31"/>
    <s v="CUW"/>
    <x v="8"/>
    <s v="IC.BUS.DISC.XQ"/>
    <m/>
    <m/>
    <m/>
    <m/>
    <m/>
    <n v="0"/>
  </r>
  <r>
    <x v="31"/>
    <s v="CUW"/>
    <x v="9"/>
    <s v="GC.DOD.TOTL.GD.ZS"/>
    <m/>
    <m/>
    <m/>
    <m/>
    <m/>
    <n v="0"/>
  </r>
  <r>
    <x v="31"/>
    <s v="CUW"/>
    <x v="10"/>
    <s v="SE.COM.DURS"/>
    <n v="14"/>
    <n v="14"/>
    <n v="14"/>
    <n v="14"/>
    <n v="14"/>
    <n v="14"/>
  </r>
  <r>
    <x v="31"/>
    <s v="CUW"/>
    <x v="11"/>
    <s v="CC.PER.RNK"/>
    <m/>
    <m/>
    <m/>
    <m/>
    <m/>
    <n v="0"/>
  </r>
  <r>
    <x v="31"/>
    <s v="CUW"/>
    <x v="12"/>
    <s v="per_sa_allsa.cov_pop_tot"/>
    <m/>
    <m/>
    <m/>
    <m/>
    <m/>
    <n v="0"/>
  </r>
  <r>
    <x v="31"/>
    <s v="CUW"/>
    <x v="13"/>
    <s v="per_si_allsi.cov_q1_tot"/>
    <m/>
    <m/>
    <m/>
    <m/>
    <m/>
    <n v="0"/>
  </r>
  <r>
    <x v="31"/>
    <s v="CUW"/>
    <x v="14"/>
    <s v="SP.DYN.TO65.FE.ZS"/>
    <n v="90.385895000000005"/>
    <n v="90.429749000000001"/>
    <n v="89.164428999999998"/>
    <n v="90.589427000000001"/>
    <m/>
    <n v="90.589427000000001"/>
  </r>
  <r>
    <x v="31"/>
    <s v="CUW"/>
    <x v="15"/>
    <s v="SP.POP.TECH.RD.P6"/>
    <m/>
    <m/>
    <m/>
    <m/>
    <m/>
    <n v="0"/>
  </r>
  <r>
    <x v="31"/>
    <s v="CUW"/>
    <x v="16"/>
    <s v="IC.REG.DURS"/>
    <m/>
    <m/>
    <m/>
    <m/>
    <m/>
    <n v="0"/>
  </r>
  <r>
    <x v="32"/>
    <s v="DOM"/>
    <x v="0"/>
    <s v="FX.OWN.TOTL.ZS"/>
    <m/>
    <m/>
    <n v="51.3"/>
    <m/>
    <m/>
    <n v="51.3"/>
  </r>
  <r>
    <x v="32"/>
    <s v="DOM"/>
    <x v="1"/>
    <s v="FX.OWN.TOTL.FE.ZS"/>
    <m/>
    <m/>
    <n v="48.96"/>
    <m/>
    <m/>
    <n v="48.96"/>
  </r>
  <r>
    <x v="32"/>
    <s v="DOM"/>
    <x v="2"/>
    <s v="FX.OWN.TOTL.MA.ZS"/>
    <m/>
    <m/>
    <n v="53.7"/>
    <m/>
    <m/>
    <n v="53.7"/>
  </r>
  <r>
    <x v="32"/>
    <s v="DOM"/>
    <x v="3"/>
    <s v="FX.OWN.TOTL.40.ZS"/>
    <m/>
    <m/>
    <n v="38.880000000000003"/>
    <m/>
    <m/>
    <n v="38.880000000000003"/>
  </r>
  <r>
    <x v="32"/>
    <s v="DOM"/>
    <x v="4"/>
    <s v="FX.OWN.TOTL.YG.ZS"/>
    <m/>
    <m/>
    <n v="31.16"/>
    <m/>
    <m/>
    <n v="31.16"/>
  </r>
  <r>
    <x v="32"/>
    <s v="DOM"/>
    <x v="5"/>
    <s v="FX.OWN.TOTL.PL.ZS"/>
    <m/>
    <m/>
    <n v="39.369999999999997"/>
    <m/>
    <m/>
    <n v="39.369999999999997"/>
  </r>
  <r>
    <x v="32"/>
    <s v="DOM"/>
    <x v="6"/>
    <s v="SL.TLF.0714.WK.TM"/>
    <m/>
    <m/>
    <m/>
    <m/>
    <m/>
    <n v="0"/>
  </r>
  <r>
    <x v="32"/>
    <s v="DOM"/>
    <x v="7"/>
    <s v="IC.FRM.BRIB.ZS"/>
    <m/>
    <m/>
    <m/>
    <m/>
    <m/>
    <n v="0"/>
  </r>
  <r>
    <x v="32"/>
    <s v="DOM"/>
    <x v="8"/>
    <s v="IC.BUS.DISC.XQ"/>
    <n v="5"/>
    <m/>
    <m/>
    <m/>
    <m/>
    <n v="5"/>
  </r>
  <r>
    <x v="32"/>
    <s v="DOM"/>
    <x v="9"/>
    <s v="GC.DOD.TOTL.GD.ZS"/>
    <m/>
    <m/>
    <m/>
    <m/>
    <m/>
    <n v="0"/>
  </r>
  <r>
    <x v="32"/>
    <s v="DOM"/>
    <x v="10"/>
    <s v="SE.COM.DURS"/>
    <n v="15"/>
    <n v="15"/>
    <n v="15"/>
    <n v="15"/>
    <n v="15"/>
    <n v="15"/>
  </r>
  <r>
    <x v="32"/>
    <s v="DOM"/>
    <x v="11"/>
    <s v="CC.PER.RNK"/>
    <n v="23.3333339691162"/>
    <n v="25.7142848968506"/>
    <n v="30.9523811340332"/>
    <n v="36.792453765869098"/>
    <n v="37.735847473144503"/>
    <n v="37.735847473144503"/>
  </r>
  <r>
    <x v="32"/>
    <s v="DOM"/>
    <x v="12"/>
    <s v="per_sa_allsa.cov_pop_tot"/>
    <n v="45.528247415436503"/>
    <m/>
    <m/>
    <m/>
    <m/>
    <n v="45.528247415436503"/>
  </r>
  <r>
    <x v="32"/>
    <s v="DOM"/>
    <x v="13"/>
    <s v="per_si_allsi.cov_q1_tot"/>
    <n v="1.75393802260007"/>
    <m/>
    <m/>
    <m/>
    <m/>
    <n v="1.75393802260007"/>
  </r>
  <r>
    <x v="32"/>
    <s v="DOM"/>
    <x v="14"/>
    <s v="SP.DYN.TO65.FE.ZS"/>
    <n v="82.407443000000001"/>
    <n v="82.830916000000002"/>
    <n v="81.063034000000002"/>
    <n v="84.390127000000007"/>
    <m/>
    <n v="84.390127000000007"/>
  </r>
  <r>
    <x v="32"/>
    <s v="DOM"/>
    <x v="15"/>
    <s v="SP.POP.TECH.RD.P6"/>
    <m/>
    <m/>
    <m/>
    <m/>
    <m/>
    <n v="0"/>
  </r>
  <r>
    <x v="32"/>
    <s v="DOM"/>
    <x v="16"/>
    <s v="IC.REG.DURS"/>
    <n v="16.5"/>
    <m/>
    <m/>
    <m/>
    <m/>
    <n v="16.5"/>
  </r>
  <r>
    <x v="33"/>
    <s v="EGY"/>
    <x v="0"/>
    <s v="FX.OWN.TOTL.ZS"/>
    <m/>
    <m/>
    <n v="27.44"/>
    <m/>
    <m/>
    <n v="27.44"/>
  </r>
  <r>
    <x v="33"/>
    <s v="EGY"/>
    <x v="1"/>
    <s v="FX.OWN.TOTL.FE.ZS"/>
    <m/>
    <m/>
    <n v="24.2"/>
    <m/>
    <m/>
    <n v="24.2"/>
  </r>
  <r>
    <x v="33"/>
    <s v="EGY"/>
    <x v="2"/>
    <s v="FX.OWN.TOTL.MA.ZS"/>
    <m/>
    <m/>
    <n v="30.57"/>
    <m/>
    <m/>
    <n v="30.57"/>
  </r>
  <r>
    <x v="33"/>
    <s v="EGY"/>
    <x v="3"/>
    <s v="FX.OWN.TOTL.40.ZS"/>
    <m/>
    <m/>
    <n v="20"/>
    <m/>
    <m/>
    <n v="20"/>
  </r>
  <r>
    <x v="33"/>
    <s v="EGY"/>
    <x v="4"/>
    <s v="FX.OWN.TOTL.YG.ZS"/>
    <m/>
    <m/>
    <n v="9.74"/>
    <m/>
    <m/>
    <n v="9.74"/>
  </r>
  <r>
    <x v="33"/>
    <s v="EGY"/>
    <x v="5"/>
    <s v="FX.OWN.TOTL.PL.ZS"/>
    <m/>
    <m/>
    <n v="25"/>
    <m/>
    <m/>
    <n v="25"/>
  </r>
  <r>
    <x v="33"/>
    <s v="EGY"/>
    <x v="6"/>
    <s v="SL.TLF.0714.WK.TM"/>
    <m/>
    <m/>
    <m/>
    <m/>
    <m/>
    <n v="0"/>
  </r>
  <r>
    <x v="33"/>
    <s v="EGY"/>
    <x v="7"/>
    <s v="IC.FRM.BRIB.ZS"/>
    <m/>
    <n v="4.9000000000000004"/>
    <m/>
    <m/>
    <m/>
    <n v="4.9000000000000004"/>
  </r>
  <r>
    <x v="33"/>
    <s v="EGY"/>
    <x v="8"/>
    <s v="IC.BUS.DISC.XQ"/>
    <n v="8"/>
    <m/>
    <m/>
    <m/>
    <m/>
    <n v="8"/>
  </r>
  <r>
    <x v="33"/>
    <s v="EGY"/>
    <x v="9"/>
    <s v="GC.DOD.TOTL.GD.ZS"/>
    <m/>
    <m/>
    <m/>
    <m/>
    <m/>
    <n v="0"/>
  </r>
  <r>
    <x v="33"/>
    <s v="EGY"/>
    <x v="10"/>
    <s v="SE.COM.DURS"/>
    <n v="12"/>
    <n v="12"/>
    <n v="12"/>
    <n v="12"/>
    <n v="12"/>
    <n v="12"/>
  </r>
  <r>
    <x v="33"/>
    <s v="EGY"/>
    <x v="11"/>
    <s v="CC.PER.RNK"/>
    <n v="28.571428298950199"/>
    <n v="23.809524536132798"/>
    <n v="26.6666660308838"/>
    <n v="26.886793136596701"/>
    <n v="24.5283012390137"/>
    <n v="28.571428298950199"/>
  </r>
  <r>
    <x v="33"/>
    <s v="EGY"/>
    <x v="12"/>
    <s v="per_sa_allsa.cov_pop_tot"/>
    <m/>
    <m/>
    <m/>
    <m/>
    <m/>
    <n v="0"/>
  </r>
  <r>
    <x v="33"/>
    <s v="EGY"/>
    <x v="13"/>
    <s v="per_si_allsi.cov_q1_tot"/>
    <m/>
    <m/>
    <m/>
    <m/>
    <m/>
    <n v="0"/>
  </r>
  <r>
    <x v="33"/>
    <s v="EGY"/>
    <x v="14"/>
    <s v="SP.DYN.TO65.FE.ZS"/>
    <n v="80.987706000000003"/>
    <n v="79.273573999999996"/>
    <n v="77.611127999999994"/>
    <n v="80.409166999999997"/>
    <m/>
    <n v="80.987706000000003"/>
  </r>
  <r>
    <x v="33"/>
    <s v="EGY"/>
    <x v="15"/>
    <s v="SP.POP.TECH.RD.P6"/>
    <m/>
    <m/>
    <m/>
    <m/>
    <m/>
    <n v="0"/>
  </r>
  <r>
    <x v="33"/>
    <s v="EGY"/>
    <x v="16"/>
    <s v="IC.REG.DURS"/>
    <n v="12.5"/>
    <m/>
    <m/>
    <m/>
    <m/>
    <n v="12.5"/>
  </r>
  <r>
    <x v="34"/>
    <s v="SLV"/>
    <x v="0"/>
    <s v="FX.OWN.TOTL.ZS"/>
    <m/>
    <m/>
    <n v="35.85"/>
    <m/>
    <m/>
    <n v="35.85"/>
  </r>
  <r>
    <x v="34"/>
    <s v="SLV"/>
    <x v="1"/>
    <s v="FX.OWN.TOTL.FE.ZS"/>
    <m/>
    <m/>
    <n v="29.23"/>
    <m/>
    <m/>
    <n v="29.23"/>
  </r>
  <r>
    <x v="34"/>
    <s v="SLV"/>
    <x v="2"/>
    <s v="FX.OWN.TOTL.MA.ZS"/>
    <m/>
    <m/>
    <n v="44.8"/>
    <m/>
    <m/>
    <n v="44.8"/>
  </r>
  <r>
    <x v="34"/>
    <s v="SLV"/>
    <x v="3"/>
    <s v="FX.OWN.TOTL.40.ZS"/>
    <m/>
    <m/>
    <n v="23.08"/>
    <m/>
    <m/>
    <n v="23.08"/>
  </r>
  <r>
    <x v="34"/>
    <s v="SLV"/>
    <x v="4"/>
    <s v="FX.OWN.TOTL.YG.ZS"/>
    <m/>
    <m/>
    <n v="31.65"/>
    <m/>
    <m/>
    <n v="31.65"/>
  </r>
  <r>
    <x v="34"/>
    <s v="SLV"/>
    <x v="5"/>
    <s v="FX.OWN.TOTL.PL.ZS"/>
    <m/>
    <m/>
    <n v="27.96"/>
    <m/>
    <m/>
    <n v="27.96"/>
  </r>
  <r>
    <x v="34"/>
    <s v="SLV"/>
    <x v="6"/>
    <s v="SL.TLF.0714.WK.TM"/>
    <m/>
    <m/>
    <m/>
    <m/>
    <m/>
    <n v="0"/>
  </r>
  <r>
    <x v="34"/>
    <s v="SLV"/>
    <x v="7"/>
    <s v="IC.FRM.BRIB.ZS"/>
    <m/>
    <m/>
    <m/>
    <m/>
    <n v="3.1"/>
    <n v="3.1"/>
  </r>
  <r>
    <x v="34"/>
    <s v="SLV"/>
    <x v="8"/>
    <s v="IC.BUS.DISC.XQ"/>
    <n v="3"/>
    <m/>
    <m/>
    <m/>
    <m/>
    <n v="3"/>
  </r>
  <r>
    <x v="34"/>
    <s v="SLV"/>
    <x v="9"/>
    <s v="GC.DOD.TOTL.GD.ZS"/>
    <n v="53.879039356217802"/>
    <n v="70.384279402388103"/>
    <n v="66.469052588666401"/>
    <n v="73.761164803313207"/>
    <n v="101.704452248702"/>
    <n v="101.704452248702"/>
  </r>
  <r>
    <x v="34"/>
    <s v="SLV"/>
    <x v="10"/>
    <s v="SE.COM.DURS"/>
    <n v="15"/>
    <n v="15"/>
    <n v="15"/>
    <n v="15"/>
    <n v="15"/>
    <n v="15"/>
  </r>
  <r>
    <x v="34"/>
    <s v="SLV"/>
    <x v="11"/>
    <s v="CC.PER.RNK"/>
    <n v="33.809524536132798"/>
    <n v="30.9523811340332"/>
    <n v="32.857143402099602"/>
    <n v="27.3584899902344"/>
    <n v="32.075469970703097"/>
    <n v="33.809524536132798"/>
  </r>
  <r>
    <x v="34"/>
    <s v="SLV"/>
    <x v="12"/>
    <s v="per_sa_allsa.cov_pop_tot"/>
    <n v="83.667764276266894"/>
    <m/>
    <m/>
    <m/>
    <m/>
    <n v="83.667764276266894"/>
  </r>
  <r>
    <x v="34"/>
    <s v="SLV"/>
    <x v="13"/>
    <s v="per_si_allsi.cov_q1_tot"/>
    <n v="2.0050918453445599"/>
    <m/>
    <m/>
    <m/>
    <m/>
    <n v="2.0050918453445599"/>
  </r>
  <r>
    <x v="34"/>
    <s v="SLV"/>
    <x v="14"/>
    <s v="SP.DYN.TO65.FE.ZS"/>
    <n v="81.675394999999995"/>
    <n v="79.577192999999994"/>
    <n v="78.598416"/>
    <n v="81.834863999999996"/>
    <m/>
    <n v="81.834863999999996"/>
  </r>
  <r>
    <x v="34"/>
    <s v="SLV"/>
    <x v="15"/>
    <s v="SP.POP.TECH.RD.P6"/>
    <m/>
    <m/>
    <m/>
    <m/>
    <m/>
    <n v="0"/>
  </r>
  <r>
    <x v="34"/>
    <s v="SLV"/>
    <x v="16"/>
    <s v="IC.REG.DURS"/>
    <n v="16.5"/>
    <m/>
    <m/>
    <m/>
    <m/>
    <n v="16.5"/>
  </r>
  <r>
    <x v="35"/>
    <s v="EST"/>
    <x v="0"/>
    <s v="FX.OWN.TOTL.ZS"/>
    <m/>
    <m/>
    <n v="99.38"/>
    <m/>
    <m/>
    <n v="99.38"/>
  </r>
  <r>
    <x v="35"/>
    <s v="EST"/>
    <x v="1"/>
    <s v="FX.OWN.TOTL.FE.ZS"/>
    <m/>
    <m/>
    <n v="99.6"/>
    <m/>
    <m/>
    <n v="99.6"/>
  </r>
  <r>
    <x v="35"/>
    <s v="EST"/>
    <x v="2"/>
    <s v="FX.OWN.TOTL.MA.ZS"/>
    <m/>
    <m/>
    <n v="99.12"/>
    <m/>
    <m/>
    <n v="99.12"/>
  </r>
  <r>
    <x v="35"/>
    <s v="EST"/>
    <x v="3"/>
    <s v="FX.OWN.TOTL.40.ZS"/>
    <m/>
    <m/>
    <n v="99.46"/>
    <m/>
    <m/>
    <n v="99.46"/>
  </r>
  <r>
    <x v="35"/>
    <s v="EST"/>
    <x v="4"/>
    <s v="FX.OWN.TOTL.YG.ZS"/>
    <m/>
    <m/>
    <n v="100"/>
    <m/>
    <m/>
    <n v="100"/>
  </r>
  <r>
    <x v="35"/>
    <s v="EST"/>
    <x v="5"/>
    <s v="FX.OWN.TOTL.PL.ZS"/>
    <m/>
    <m/>
    <n v="98.39"/>
    <m/>
    <m/>
    <n v="98.39"/>
  </r>
  <r>
    <x v="35"/>
    <s v="EST"/>
    <x v="6"/>
    <s v="SL.TLF.0714.WK.TM"/>
    <m/>
    <m/>
    <m/>
    <m/>
    <m/>
    <n v="0"/>
  </r>
  <r>
    <x v="35"/>
    <s v="EST"/>
    <x v="7"/>
    <s v="IC.FRM.BRIB.ZS"/>
    <n v="0"/>
    <m/>
    <m/>
    <m/>
    <n v="0"/>
    <n v="0"/>
  </r>
  <r>
    <x v="35"/>
    <s v="EST"/>
    <x v="8"/>
    <s v="IC.BUS.DISC.XQ"/>
    <n v="8"/>
    <m/>
    <m/>
    <m/>
    <m/>
    <n v="8"/>
  </r>
  <r>
    <x v="35"/>
    <s v="EST"/>
    <x v="9"/>
    <s v="GC.DOD.TOTL.GD.ZS"/>
    <n v="13.6744569580364"/>
    <n v="23.406555709300399"/>
    <n v="23.6747939359567"/>
    <n v="24.902583651285902"/>
    <m/>
    <n v="24.902583651285902"/>
  </r>
  <r>
    <x v="35"/>
    <s v="EST"/>
    <x v="10"/>
    <s v="SE.COM.DURS"/>
    <n v="9"/>
    <n v="9"/>
    <n v="9"/>
    <n v="9"/>
    <n v="9"/>
    <n v="9"/>
  </r>
  <r>
    <x v="35"/>
    <s v="EST"/>
    <x v="11"/>
    <s v="CC.PER.RNK"/>
    <n v="90.952377319335895"/>
    <n v="92.380950927734403"/>
    <n v="90"/>
    <n v="91.037734985351605"/>
    <n v="91.509437561035199"/>
    <n v="92.380950927734403"/>
  </r>
  <r>
    <x v="35"/>
    <s v="EST"/>
    <x v="12"/>
    <s v="per_sa_allsa.cov_pop_tot"/>
    <m/>
    <m/>
    <m/>
    <m/>
    <m/>
    <n v="0"/>
  </r>
  <r>
    <x v="35"/>
    <s v="EST"/>
    <x v="13"/>
    <s v="per_si_allsi.cov_q1_tot"/>
    <m/>
    <m/>
    <m/>
    <m/>
    <m/>
    <n v="0"/>
  </r>
  <r>
    <x v="35"/>
    <s v="EST"/>
    <x v="14"/>
    <s v="SP.DYN.TO65.FE.ZS"/>
    <n v="91.100279"/>
    <n v="90.751557000000005"/>
    <n v="90.059071000000003"/>
    <n v="90.651696000000001"/>
    <m/>
    <n v="91.100279"/>
  </r>
  <r>
    <x v="35"/>
    <s v="EST"/>
    <x v="15"/>
    <s v="SP.POP.TECH.RD.P6"/>
    <m/>
    <m/>
    <m/>
    <m/>
    <m/>
    <n v="0"/>
  </r>
  <r>
    <x v="35"/>
    <s v="EST"/>
    <x v="16"/>
    <s v="IC.REG.DURS"/>
    <n v="3.5"/>
    <m/>
    <m/>
    <m/>
    <m/>
    <n v="3.5"/>
  </r>
  <r>
    <x v="36"/>
    <s v="ETH"/>
    <x v="0"/>
    <s v="FX.OWN.TOTL.ZS"/>
    <m/>
    <m/>
    <m/>
    <n v="46.48"/>
    <m/>
    <n v="46.48"/>
  </r>
  <r>
    <x v="36"/>
    <s v="ETH"/>
    <x v="1"/>
    <s v="FX.OWN.TOTL.FE.ZS"/>
    <m/>
    <m/>
    <m/>
    <n v="38.74"/>
    <m/>
    <n v="38.74"/>
  </r>
  <r>
    <x v="36"/>
    <s v="ETH"/>
    <x v="2"/>
    <s v="FX.OWN.TOTL.MA.ZS"/>
    <m/>
    <m/>
    <m/>
    <n v="54.68"/>
    <m/>
    <n v="54.68"/>
  </r>
  <r>
    <x v="36"/>
    <s v="ETH"/>
    <x v="3"/>
    <s v="FX.OWN.TOTL.40.ZS"/>
    <m/>
    <m/>
    <m/>
    <n v="34.69"/>
    <m/>
    <n v="34.69"/>
  </r>
  <r>
    <x v="36"/>
    <s v="ETH"/>
    <x v="4"/>
    <s v="FX.OWN.TOTL.YG.ZS"/>
    <m/>
    <m/>
    <m/>
    <n v="46.82"/>
    <m/>
    <n v="46.82"/>
  </r>
  <r>
    <x v="36"/>
    <s v="ETH"/>
    <x v="5"/>
    <s v="FX.OWN.TOTL.PL.ZS"/>
    <m/>
    <m/>
    <m/>
    <n v="38.97"/>
    <m/>
    <n v="38.97"/>
  </r>
  <r>
    <x v="36"/>
    <s v="ETH"/>
    <x v="6"/>
    <s v="SL.TLF.0714.WK.TM"/>
    <m/>
    <m/>
    <m/>
    <m/>
    <m/>
    <n v="0"/>
  </r>
  <r>
    <x v="36"/>
    <s v="ETH"/>
    <x v="7"/>
    <s v="IC.FRM.BRIB.ZS"/>
    <m/>
    <m/>
    <m/>
    <m/>
    <m/>
    <n v="0"/>
  </r>
  <r>
    <x v="36"/>
    <s v="ETH"/>
    <x v="8"/>
    <s v="IC.BUS.DISC.XQ"/>
    <n v="3"/>
    <m/>
    <m/>
    <m/>
    <m/>
    <n v="3"/>
  </r>
  <r>
    <x v="36"/>
    <s v="ETH"/>
    <x v="9"/>
    <s v="GC.DOD.TOTL.GD.ZS"/>
    <n v="31.448848674036402"/>
    <m/>
    <m/>
    <m/>
    <m/>
    <n v="31.448848674036402"/>
  </r>
  <r>
    <x v="36"/>
    <s v="ETH"/>
    <x v="10"/>
    <s v="SE.COM.DURS"/>
    <n v="8"/>
    <n v="8"/>
    <n v="8"/>
    <n v="8"/>
    <n v="8"/>
    <n v="8"/>
  </r>
  <r>
    <x v="36"/>
    <s v="ETH"/>
    <x v="11"/>
    <s v="CC.PER.RNK"/>
    <n v="38.095237731933601"/>
    <n v="40.476188659667997"/>
    <n v="38.095237731933601"/>
    <n v="37.735847473144503"/>
    <n v="37.264152526855497"/>
    <n v="40.476188659667997"/>
  </r>
  <r>
    <x v="36"/>
    <s v="ETH"/>
    <x v="12"/>
    <s v="per_sa_allsa.cov_pop_tot"/>
    <m/>
    <m/>
    <m/>
    <m/>
    <m/>
    <n v="0"/>
  </r>
  <r>
    <x v="36"/>
    <s v="ETH"/>
    <x v="13"/>
    <s v="per_si_allsi.cov_q1_tot"/>
    <m/>
    <m/>
    <m/>
    <m/>
    <m/>
    <n v="0"/>
  </r>
  <r>
    <x v="36"/>
    <s v="ETH"/>
    <x v="14"/>
    <s v="SP.DYN.TO65.FE.ZS"/>
    <n v="72.512253999999999"/>
    <n v="73.216955999999996"/>
    <n v="71.649817999999996"/>
    <n v="74.923299999999998"/>
    <m/>
    <n v="74.923299999999998"/>
  </r>
  <r>
    <x v="36"/>
    <s v="ETH"/>
    <x v="15"/>
    <s v="SP.POP.TECH.RD.P6"/>
    <m/>
    <m/>
    <m/>
    <m/>
    <m/>
    <n v="0"/>
  </r>
  <r>
    <x v="36"/>
    <s v="ETH"/>
    <x v="16"/>
    <s v="IC.REG.DURS"/>
    <n v="32"/>
    <m/>
    <m/>
    <m/>
    <m/>
    <n v="32"/>
  </r>
  <r>
    <x v="37"/>
    <s v="FJI"/>
    <x v="0"/>
    <s v="FX.OWN.TOTL.ZS"/>
    <m/>
    <m/>
    <m/>
    <m/>
    <m/>
    <n v="0"/>
  </r>
  <r>
    <x v="37"/>
    <s v="FJI"/>
    <x v="1"/>
    <s v="FX.OWN.TOTL.FE.ZS"/>
    <m/>
    <m/>
    <m/>
    <m/>
    <m/>
    <n v="0"/>
  </r>
  <r>
    <x v="37"/>
    <s v="FJI"/>
    <x v="2"/>
    <s v="FX.OWN.TOTL.MA.ZS"/>
    <m/>
    <m/>
    <m/>
    <m/>
    <m/>
    <n v="0"/>
  </r>
  <r>
    <x v="37"/>
    <s v="FJI"/>
    <x v="3"/>
    <s v="FX.OWN.TOTL.40.ZS"/>
    <m/>
    <m/>
    <m/>
    <m/>
    <m/>
    <n v="0"/>
  </r>
  <r>
    <x v="37"/>
    <s v="FJI"/>
    <x v="4"/>
    <s v="FX.OWN.TOTL.YG.ZS"/>
    <m/>
    <m/>
    <m/>
    <m/>
    <m/>
    <n v="0"/>
  </r>
  <r>
    <x v="37"/>
    <s v="FJI"/>
    <x v="5"/>
    <s v="FX.OWN.TOTL.PL.ZS"/>
    <m/>
    <m/>
    <m/>
    <m/>
    <m/>
    <n v="0"/>
  </r>
  <r>
    <x v="37"/>
    <s v="FJI"/>
    <x v="6"/>
    <s v="SL.TLF.0714.WK.TM"/>
    <m/>
    <m/>
    <m/>
    <m/>
    <m/>
    <n v="0"/>
  </r>
  <r>
    <x v="37"/>
    <s v="FJI"/>
    <x v="7"/>
    <s v="IC.FRM.BRIB.ZS"/>
    <m/>
    <m/>
    <m/>
    <m/>
    <m/>
    <n v="0"/>
  </r>
  <r>
    <x v="37"/>
    <s v="FJI"/>
    <x v="8"/>
    <s v="IC.BUS.DISC.XQ"/>
    <n v="2"/>
    <m/>
    <m/>
    <m/>
    <m/>
    <n v="2"/>
  </r>
  <r>
    <x v="37"/>
    <s v="FJI"/>
    <x v="9"/>
    <s v="GC.DOD.TOTL.GD.ZS"/>
    <m/>
    <m/>
    <m/>
    <m/>
    <m/>
    <n v="0"/>
  </r>
  <r>
    <x v="37"/>
    <s v="FJI"/>
    <x v="10"/>
    <s v="SE.COM.DURS"/>
    <m/>
    <m/>
    <m/>
    <m/>
    <m/>
    <n v="0"/>
  </r>
  <r>
    <x v="37"/>
    <s v="FJI"/>
    <x v="11"/>
    <s v="CC.PER.RNK"/>
    <n v="74.761901855468807"/>
    <n v="71.904762268066406"/>
    <n v="65.714286804199205"/>
    <n v="64.622642517089801"/>
    <n v="66.037734985351605"/>
    <n v="74.761901855468807"/>
  </r>
  <r>
    <x v="37"/>
    <s v="FJI"/>
    <x v="12"/>
    <s v="per_sa_allsa.cov_pop_tot"/>
    <m/>
    <m/>
    <m/>
    <m/>
    <m/>
    <n v="0"/>
  </r>
  <r>
    <x v="37"/>
    <s v="FJI"/>
    <x v="13"/>
    <s v="per_si_allsi.cov_q1_tot"/>
    <m/>
    <m/>
    <m/>
    <m/>
    <m/>
    <n v="0"/>
  </r>
  <r>
    <x v="37"/>
    <s v="FJI"/>
    <x v="14"/>
    <s v="SP.DYN.TO65.FE.ZS"/>
    <n v="68.506192999999996"/>
    <n v="69.209863999999996"/>
    <n v="62.886150999999998"/>
    <n v="69.017990999999995"/>
    <m/>
    <n v="69.209863999999996"/>
  </r>
  <r>
    <x v="37"/>
    <s v="FJI"/>
    <x v="15"/>
    <s v="SP.POP.TECH.RD.P6"/>
    <m/>
    <m/>
    <m/>
    <m/>
    <m/>
    <n v="0"/>
  </r>
  <r>
    <x v="37"/>
    <s v="FJI"/>
    <x v="16"/>
    <s v="IC.REG.DURS"/>
    <n v="40"/>
    <m/>
    <m/>
    <m/>
    <m/>
    <n v="40"/>
  </r>
  <r>
    <x v="38"/>
    <s v="FIN"/>
    <x v="0"/>
    <s v="FX.OWN.TOTL.ZS"/>
    <m/>
    <m/>
    <n v="99.53"/>
    <m/>
    <m/>
    <n v="99.53"/>
  </r>
  <r>
    <x v="38"/>
    <s v="FIN"/>
    <x v="1"/>
    <s v="FX.OWN.TOTL.FE.ZS"/>
    <m/>
    <m/>
    <n v="99.08"/>
    <m/>
    <m/>
    <n v="99.08"/>
  </r>
  <r>
    <x v="38"/>
    <s v="FIN"/>
    <x v="2"/>
    <s v="FX.OWN.TOTL.MA.ZS"/>
    <m/>
    <m/>
    <n v="100"/>
    <m/>
    <m/>
    <n v="100"/>
  </r>
  <r>
    <x v="38"/>
    <s v="FIN"/>
    <x v="3"/>
    <s v="FX.OWN.TOTL.40.ZS"/>
    <m/>
    <m/>
    <n v="98.82"/>
    <m/>
    <m/>
    <n v="98.82"/>
  </r>
  <r>
    <x v="38"/>
    <s v="FIN"/>
    <x v="4"/>
    <s v="FX.OWN.TOTL.YG.ZS"/>
    <m/>
    <m/>
    <n v="96.47"/>
    <m/>
    <m/>
    <n v="96.47"/>
  </r>
  <r>
    <x v="38"/>
    <s v="FIN"/>
    <x v="5"/>
    <s v="FX.OWN.TOTL.PL.ZS"/>
    <m/>
    <m/>
    <n v="98.31"/>
    <m/>
    <m/>
    <n v="98.31"/>
  </r>
  <r>
    <x v="38"/>
    <s v="FIN"/>
    <x v="6"/>
    <s v="SL.TLF.0714.WK.TM"/>
    <m/>
    <m/>
    <m/>
    <m/>
    <m/>
    <n v="0"/>
  </r>
  <r>
    <x v="38"/>
    <s v="FIN"/>
    <x v="7"/>
    <s v="IC.FRM.BRIB.ZS"/>
    <m/>
    <n v="2.8"/>
    <m/>
    <m/>
    <m/>
    <n v="2.8"/>
  </r>
  <r>
    <x v="38"/>
    <s v="FIN"/>
    <x v="8"/>
    <s v="IC.BUS.DISC.XQ"/>
    <n v="6"/>
    <m/>
    <m/>
    <m/>
    <m/>
    <n v="6"/>
  </r>
  <r>
    <x v="38"/>
    <s v="FIN"/>
    <x v="9"/>
    <s v="GC.DOD.TOTL.GD.ZS"/>
    <m/>
    <m/>
    <m/>
    <m/>
    <m/>
    <n v="0"/>
  </r>
  <r>
    <x v="38"/>
    <s v="FIN"/>
    <x v="10"/>
    <s v="SE.COM.DURS"/>
    <n v="10"/>
    <n v="10"/>
    <n v="10"/>
    <n v="11"/>
    <n v="11"/>
    <n v="11"/>
  </r>
  <r>
    <x v="38"/>
    <s v="FIN"/>
    <x v="11"/>
    <s v="CC.PER.RNK"/>
    <n v="98.571426391601605"/>
    <n v="99.523811340332003"/>
    <n v="99.523811340332003"/>
    <n v="99.528305053710895"/>
    <n v="99.528305053710895"/>
    <n v="99.528305053710895"/>
  </r>
  <r>
    <x v="38"/>
    <s v="FIN"/>
    <x v="12"/>
    <s v="per_sa_allsa.cov_pop_tot"/>
    <m/>
    <m/>
    <m/>
    <m/>
    <m/>
    <n v="0"/>
  </r>
  <r>
    <x v="38"/>
    <s v="FIN"/>
    <x v="13"/>
    <s v="per_si_allsi.cov_q1_tot"/>
    <m/>
    <m/>
    <m/>
    <m/>
    <m/>
    <n v="0"/>
  </r>
  <r>
    <x v="38"/>
    <s v="FIN"/>
    <x v="14"/>
    <s v="SP.DYN.TO65.FE.ZS"/>
    <n v="93.139773000000005"/>
    <n v="93.323884000000007"/>
    <n v="93.082975000000005"/>
    <n v="92.804719000000006"/>
    <m/>
    <n v="93.323884000000007"/>
  </r>
  <r>
    <x v="38"/>
    <s v="FIN"/>
    <x v="15"/>
    <s v="SP.POP.TECH.RD.P6"/>
    <m/>
    <m/>
    <m/>
    <m/>
    <m/>
    <n v="0"/>
  </r>
  <r>
    <x v="38"/>
    <s v="FIN"/>
    <x v="16"/>
    <s v="IC.REG.DURS"/>
    <n v="13"/>
    <m/>
    <m/>
    <m/>
    <m/>
    <n v="13"/>
  </r>
  <r>
    <x v="39"/>
    <s v="FRA"/>
    <x v="0"/>
    <s v="FX.OWN.TOTL.ZS"/>
    <m/>
    <m/>
    <n v="99.24"/>
    <m/>
    <m/>
    <n v="99.24"/>
  </r>
  <r>
    <x v="39"/>
    <s v="FRA"/>
    <x v="1"/>
    <s v="FX.OWN.TOTL.FE.ZS"/>
    <m/>
    <m/>
    <n v="100"/>
    <m/>
    <m/>
    <n v="100"/>
  </r>
  <r>
    <x v="39"/>
    <s v="FRA"/>
    <x v="2"/>
    <s v="FX.OWN.TOTL.MA.ZS"/>
    <m/>
    <m/>
    <n v="98.42"/>
    <m/>
    <m/>
    <n v="98.42"/>
  </r>
  <r>
    <x v="39"/>
    <s v="FRA"/>
    <x v="3"/>
    <s v="FX.OWN.TOTL.40.ZS"/>
    <m/>
    <m/>
    <n v="98.4"/>
    <m/>
    <m/>
    <n v="98.4"/>
  </r>
  <r>
    <x v="39"/>
    <s v="FRA"/>
    <x v="4"/>
    <s v="FX.OWN.TOTL.YG.ZS"/>
    <m/>
    <m/>
    <n v="99.24"/>
    <m/>
    <m/>
    <n v="99.24"/>
  </r>
  <r>
    <x v="39"/>
    <s v="FRA"/>
    <x v="5"/>
    <s v="FX.OWN.TOTL.PL.ZS"/>
    <m/>
    <m/>
    <n v="95.87"/>
    <m/>
    <m/>
    <n v="95.87"/>
  </r>
  <r>
    <x v="39"/>
    <s v="FRA"/>
    <x v="6"/>
    <s v="SL.TLF.0714.WK.TM"/>
    <m/>
    <m/>
    <m/>
    <m/>
    <m/>
    <n v="0"/>
  </r>
  <r>
    <x v="39"/>
    <s v="FRA"/>
    <x v="7"/>
    <s v="IC.FRM.BRIB.ZS"/>
    <m/>
    <m/>
    <n v="1.6"/>
    <m/>
    <m/>
    <n v="1.6"/>
  </r>
  <r>
    <x v="39"/>
    <s v="FRA"/>
    <x v="8"/>
    <s v="IC.BUS.DISC.XQ"/>
    <n v="8"/>
    <m/>
    <m/>
    <m/>
    <m/>
    <n v="8"/>
  </r>
  <r>
    <x v="39"/>
    <s v="FRA"/>
    <x v="9"/>
    <s v="GC.DOD.TOTL.GD.ZS"/>
    <n v="105.19541348211"/>
    <n v="123.148570476633"/>
    <n v="116.607883179247"/>
    <n v="98.053313298950997"/>
    <m/>
    <n v="123.148570476633"/>
  </r>
  <r>
    <x v="39"/>
    <s v="FRA"/>
    <x v="10"/>
    <s v="SE.COM.DURS"/>
    <n v="10"/>
    <n v="13"/>
    <n v="13"/>
    <n v="13"/>
    <n v="13"/>
    <n v="13"/>
  </r>
  <r>
    <x v="39"/>
    <s v="FRA"/>
    <x v="11"/>
    <s v="CC.PER.RNK"/>
    <n v="88.571426391601605"/>
    <n v="83.809524536132798"/>
    <n v="89.047622680664105"/>
    <n v="85.377357482910199"/>
    <n v="83.962265014648395"/>
    <n v="89.047622680664105"/>
  </r>
  <r>
    <x v="39"/>
    <s v="FRA"/>
    <x v="12"/>
    <s v="per_sa_allsa.cov_pop_tot"/>
    <m/>
    <m/>
    <m/>
    <m/>
    <m/>
    <n v="0"/>
  </r>
  <r>
    <x v="39"/>
    <s v="FRA"/>
    <x v="13"/>
    <s v="per_si_allsi.cov_q1_tot"/>
    <m/>
    <m/>
    <m/>
    <m/>
    <m/>
    <n v="0"/>
  </r>
  <r>
    <x v="39"/>
    <s v="FRA"/>
    <x v="14"/>
    <s v="SP.DYN.TO65.FE.ZS"/>
    <n v="92.477377000000004"/>
    <n v="92.450537999999995"/>
    <n v="92.483858999999995"/>
    <n v="92.822394000000003"/>
    <m/>
    <n v="92.822394000000003"/>
  </r>
  <r>
    <x v="39"/>
    <s v="FRA"/>
    <x v="15"/>
    <s v="SP.POP.TECH.RD.P6"/>
    <m/>
    <m/>
    <m/>
    <m/>
    <m/>
    <n v="0"/>
  </r>
  <r>
    <x v="39"/>
    <s v="FRA"/>
    <x v="16"/>
    <s v="IC.REG.DURS"/>
    <n v="4"/>
    <m/>
    <m/>
    <m/>
    <m/>
    <n v="4"/>
  </r>
  <r>
    <x v="40"/>
    <s v="GEO"/>
    <x v="0"/>
    <s v="FX.OWN.TOTL.ZS"/>
    <m/>
    <m/>
    <n v="70.5"/>
    <m/>
    <m/>
    <n v="70.5"/>
  </r>
  <r>
    <x v="40"/>
    <s v="GEO"/>
    <x v="1"/>
    <s v="FX.OWN.TOTL.FE.ZS"/>
    <m/>
    <m/>
    <n v="70.709999999999994"/>
    <m/>
    <m/>
    <n v="70.709999999999994"/>
  </r>
  <r>
    <x v="40"/>
    <s v="GEO"/>
    <x v="2"/>
    <s v="FX.OWN.TOTL.MA.ZS"/>
    <m/>
    <m/>
    <n v="70.25"/>
    <m/>
    <m/>
    <n v="70.25"/>
  </r>
  <r>
    <x v="40"/>
    <s v="GEO"/>
    <x v="3"/>
    <s v="FX.OWN.TOTL.40.ZS"/>
    <m/>
    <m/>
    <n v="62.45"/>
    <m/>
    <m/>
    <n v="62.45"/>
  </r>
  <r>
    <x v="40"/>
    <s v="GEO"/>
    <x v="4"/>
    <s v="FX.OWN.TOTL.YG.ZS"/>
    <m/>
    <m/>
    <n v="54.54"/>
    <m/>
    <m/>
    <n v="54.54"/>
  </r>
  <r>
    <x v="40"/>
    <s v="GEO"/>
    <x v="5"/>
    <s v="FX.OWN.TOTL.PL.ZS"/>
    <m/>
    <m/>
    <n v="41.71"/>
    <m/>
    <m/>
    <n v="41.71"/>
  </r>
  <r>
    <x v="40"/>
    <s v="GEO"/>
    <x v="6"/>
    <s v="SL.TLF.0714.WK.TM"/>
    <m/>
    <m/>
    <m/>
    <m/>
    <m/>
    <n v="0"/>
  </r>
  <r>
    <x v="40"/>
    <s v="GEO"/>
    <x v="7"/>
    <s v="IC.FRM.BRIB.ZS"/>
    <n v="1.3"/>
    <m/>
    <m/>
    <m/>
    <n v="1"/>
    <n v="1.3"/>
  </r>
  <r>
    <x v="40"/>
    <s v="GEO"/>
    <x v="8"/>
    <s v="IC.BUS.DISC.XQ"/>
    <n v="9"/>
    <m/>
    <m/>
    <m/>
    <m/>
    <n v="9"/>
  </r>
  <r>
    <x v="40"/>
    <s v="GEO"/>
    <x v="9"/>
    <s v="GC.DOD.TOTL.GD.ZS"/>
    <n v="44.723685798174003"/>
    <n v="65.193315792644995"/>
    <n v="54.727126012779102"/>
    <n v="42.969393357123202"/>
    <m/>
    <n v="65.193315792644995"/>
  </r>
  <r>
    <x v="40"/>
    <s v="GEO"/>
    <x v="10"/>
    <s v="SE.COM.DURS"/>
    <n v="9"/>
    <n v="9"/>
    <n v="9"/>
    <n v="9"/>
    <n v="9"/>
    <n v="9"/>
  </r>
  <r>
    <x v="40"/>
    <s v="GEO"/>
    <x v="11"/>
    <s v="CC.PER.RNK"/>
    <n v="76.190475463867202"/>
    <n v="70.952377319335895"/>
    <n v="73.809524536132798"/>
    <n v="72.169815063476605"/>
    <n v="71.226417541503906"/>
    <n v="76.190475463867202"/>
  </r>
  <r>
    <x v="40"/>
    <s v="GEO"/>
    <x v="12"/>
    <s v="per_sa_allsa.cov_pop_tot"/>
    <n v="64.775254531250397"/>
    <n v="64.753410535606406"/>
    <n v="65.973896344421107"/>
    <m/>
    <m/>
    <n v="65.973896344421107"/>
  </r>
  <r>
    <x v="40"/>
    <s v="GEO"/>
    <x v="13"/>
    <s v="per_si_allsi.cov_q1_tot"/>
    <m/>
    <m/>
    <m/>
    <m/>
    <m/>
    <n v="0"/>
  </r>
  <r>
    <x v="40"/>
    <s v="GEO"/>
    <x v="14"/>
    <s v="SP.DYN.TO65.FE.ZS"/>
    <n v="87.549722000000003"/>
    <n v="86.589507999999995"/>
    <n v="82.901647999999994"/>
    <n v="87.716818000000004"/>
    <m/>
    <n v="87.716818000000004"/>
  </r>
  <r>
    <x v="40"/>
    <s v="GEO"/>
    <x v="15"/>
    <s v="SP.POP.TECH.RD.P6"/>
    <m/>
    <m/>
    <m/>
    <m/>
    <m/>
    <n v="0"/>
  </r>
  <r>
    <x v="40"/>
    <s v="GEO"/>
    <x v="16"/>
    <s v="IC.REG.DURS"/>
    <n v="1"/>
    <m/>
    <m/>
    <m/>
    <m/>
    <n v="1"/>
  </r>
  <r>
    <x v="41"/>
    <s v="DEU"/>
    <x v="0"/>
    <s v="FX.OWN.TOTL.ZS"/>
    <m/>
    <m/>
    <n v="99.98"/>
    <m/>
    <m/>
    <n v="99.98"/>
  </r>
  <r>
    <x v="41"/>
    <s v="DEU"/>
    <x v="1"/>
    <s v="FX.OWN.TOTL.FE.ZS"/>
    <m/>
    <m/>
    <n v="100"/>
    <m/>
    <m/>
    <n v="100"/>
  </r>
  <r>
    <x v="41"/>
    <s v="DEU"/>
    <x v="2"/>
    <s v="FX.OWN.TOTL.MA.ZS"/>
    <m/>
    <m/>
    <n v="99.95"/>
    <m/>
    <m/>
    <n v="99.95"/>
  </r>
  <r>
    <x v="41"/>
    <s v="DEU"/>
    <x v="3"/>
    <s v="FX.OWN.TOTL.40.ZS"/>
    <m/>
    <m/>
    <n v="99.94"/>
    <m/>
    <m/>
    <n v="99.94"/>
  </r>
  <r>
    <x v="41"/>
    <s v="DEU"/>
    <x v="4"/>
    <s v="FX.OWN.TOTL.YG.ZS"/>
    <m/>
    <m/>
    <n v="100"/>
    <m/>
    <m/>
    <n v="100"/>
  </r>
  <r>
    <x v="41"/>
    <s v="DEU"/>
    <x v="5"/>
    <s v="FX.OWN.TOTL.PL.ZS"/>
    <m/>
    <m/>
    <n v="100"/>
    <m/>
    <m/>
    <n v="100"/>
  </r>
  <r>
    <x v="41"/>
    <s v="DEU"/>
    <x v="6"/>
    <s v="SL.TLF.0714.WK.TM"/>
    <m/>
    <m/>
    <m/>
    <m/>
    <m/>
    <n v="0"/>
  </r>
  <r>
    <x v="41"/>
    <s v="DEU"/>
    <x v="7"/>
    <s v="IC.FRM.BRIB.ZS"/>
    <m/>
    <m/>
    <n v="2.2000000000000002"/>
    <m/>
    <m/>
    <n v="2.2000000000000002"/>
  </r>
  <r>
    <x v="41"/>
    <s v="DEU"/>
    <x v="8"/>
    <s v="IC.BUS.DISC.XQ"/>
    <n v="5"/>
    <m/>
    <m/>
    <m/>
    <m/>
    <n v="5"/>
  </r>
  <r>
    <x v="41"/>
    <s v="DEU"/>
    <x v="9"/>
    <s v="GC.DOD.TOTL.GD.ZS"/>
    <m/>
    <m/>
    <m/>
    <m/>
    <m/>
    <n v="0"/>
  </r>
  <r>
    <x v="41"/>
    <s v="DEU"/>
    <x v="10"/>
    <s v="SE.COM.DURS"/>
    <n v="13"/>
    <n v="13"/>
    <n v="13"/>
    <n v="13"/>
    <n v="13"/>
    <n v="13"/>
  </r>
  <r>
    <x v="41"/>
    <s v="DEU"/>
    <x v="11"/>
    <s v="CC.PER.RNK"/>
    <n v="95.238098144531193"/>
    <n v="95.238098144531193"/>
    <n v="95.714286804199205"/>
    <n v="95.754714965820298"/>
    <n v="94.339622497558594"/>
    <n v="95.754714965820298"/>
  </r>
  <r>
    <x v="41"/>
    <s v="DEU"/>
    <x v="12"/>
    <s v="per_sa_allsa.cov_pop_tot"/>
    <m/>
    <m/>
    <m/>
    <m/>
    <m/>
    <n v="0"/>
  </r>
  <r>
    <x v="41"/>
    <s v="DEU"/>
    <x v="13"/>
    <s v="per_si_allsi.cov_q1_tot"/>
    <m/>
    <m/>
    <m/>
    <m/>
    <m/>
    <n v="0"/>
  </r>
  <r>
    <x v="41"/>
    <s v="DEU"/>
    <x v="14"/>
    <s v="SP.DYN.TO65.FE.ZS"/>
    <n v="92.075883000000005"/>
    <n v="92.122854000000004"/>
    <n v="91.875352000000007"/>
    <n v="91.953883000000005"/>
    <m/>
    <n v="92.122854000000004"/>
  </r>
  <r>
    <x v="41"/>
    <s v="DEU"/>
    <x v="15"/>
    <s v="SP.POP.TECH.RD.P6"/>
    <m/>
    <m/>
    <m/>
    <m/>
    <m/>
    <n v="0"/>
  </r>
  <r>
    <x v="41"/>
    <s v="DEU"/>
    <x v="16"/>
    <s v="IC.REG.DURS"/>
    <n v="8"/>
    <m/>
    <m/>
    <m/>
    <m/>
    <n v="8"/>
  </r>
  <r>
    <x v="42"/>
    <s v="GHA"/>
    <x v="0"/>
    <s v="FX.OWN.TOTL.ZS"/>
    <m/>
    <m/>
    <n v="68.23"/>
    <m/>
    <m/>
    <n v="68.23"/>
  </r>
  <r>
    <x v="42"/>
    <s v="GHA"/>
    <x v="1"/>
    <s v="FX.OWN.TOTL.FE.ZS"/>
    <m/>
    <m/>
    <n v="62.58"/>
    <m/>
    <m/>
    <n v="62.58"/>
  </r>
  <r>
    <x v="42"/>
    <s v="GHA"/>
    <x v="2"/>
    <s v="FX.OWN.TOTL.MA.ZS"/>
    <m/>
    <m/>
    <n v="74.180000000000007"/>
    <m/>
    <m/>
    <n v="74.180000000000007"/>
  </r>
  <r>
    <x v="42"/>
    <s v="GHA"/>
    <x v="3"/>
    <s v="FX.OWN.TOTL.40.ZS"/>
    <m/>
    <m/>
    <n v="54.72"/>
    <m/>
    <m/>
    <n v="54.72"/>
  </r>
  <r>
    <x v="42"/>
    <s v="GHA"/>
    <x v="4"/>
    <s v="FX.OWN.TOTL.YG.ZS"/>
    <m/>
    <m/>
    <n v="65.22"/>
    <m/>
    <m/>
    <n v="65.22"/>
  </r>
  <r>
    <x v="42"/>
    <s v="GHA"/>
    <x v="5"/>
    <s v="FX.OWN.TOTL.PL.ZS"/>
    <m/>
    <m/>
    <n v="51.59"/>
    <m/>
    <m/>
    <n v="51.59"/>
  </r>
  <r>
    <x v="42"/>
    <s v="GHA"/>
    <x v="6"/>
    <s v="SL.TLF.0714.WK.TM"/>
    <m/>
    <m/>
    <m/>
    <m/>
    <m/>
    <n v="0"/>
  </r>
  <r>
    <x v="42"/>
    <s v="GHA"/>
    <x v="7"/>
    <s v="IC.FRM.BRIB.ZS"/>
    <m/>
    <m/>
    <m/>
    <m/>
    <n v="17"/>
    <n v="17"/>
  </r>
  <r>
    <x v="42"/>
    <s v="GHA"/>
    <x v="8"/>
    <s v="IC.BUS.DISC.XQ"/>
    <n v="7"/>
    <m/>
    <m/>
    <m/>
    <m/>
    <n v="7"/>
  </r>
  <r>
    <x v="42"/>
    <s v="GHA"/>
    <x v="9"/>
    <s v="GC.DOD.TOTL.GD.ZS"/>
    <m/>
    <m/>
    <m/>
    <m/>
    <m/>
    <n v="0"/>
  </r>
  <r>
    <x v="42"/>
    <s v="GHA"/>
    <x v="10"/>
    <s v="SE.COM.DURS"/>
    <n v="11"/>
    <n v="11"/>
    <n v="11"/>
    <n v="11"/>
    <n v="11"/>
    <n v="11"/>
  </r>
  <r>
    <x v="42"/>
    <s v="GHA"/>
    <x v="11"/>
    <s v="CC.PER.RNK"/>
    <n v="52.380950927734403"/>
    <n v="50"/>
    <n v="50"/>
    <n v="52.830188751220703"/>
    <n v="51.415092468261697"/>
    <n v="52.830188751220703"/>
  </r>
  <r>
    <x v="42"/>
    <s v="GHA"/>
    <x v="12"/>
    <s v="per_sa_allsa.cov_pop_tot"/>
    <m/>
    <m/>
    <m/>
    <m/>
    <m/>
    <n v="0"/>
  </r>
  <r>
    <x v="42"/>
    <s v="GHA"/>
    <x v="13"/>
    <s v="per_si_allsi.cov_q1_tot"/>
    <m/>
    <m/>
    <m/>
    <m/>
    <m/>
    <n v="0"/>
  </r>
  <r>
    <x v="42"/>
    <s v="GHA"/>
    <x v="14"/>
    <s v="SP.DYN.TO65.FE.ZS"/>
    <n v="67.984747999999996"/>
    <n v="67.961275999999998"/>
    <n v="67.210055999999994"/>
    <n v="69.697326000000004"/>
    <m/>
    <n v="69.697326000000004"/>
  </r>
  <r>
    <x v="42"/>
    <s v="GHA"/>
    <x v="15"/>
    <s v="SP.POP.TECH.RD.P6"/>
    <m/>
    <m/>
    <m/>
    <m/>
    <m/>
    <n v="0"/>
  </r>
  <r>
    <x v="42"/>
    <s v="GHA"/>
    <x v="16"/>
    <s v="IC.REG.DURS"/>
    <n v="13"/>
    <m/>
    <m/>
    <m/>
    <m/>
    <n v="13"/>
  </r>
  <r>
    <x v="43"/>
    <s v="GRC"/>
    <x v="0"/>
    <s v="FX.OWN.TOTL.ZS"/>
    <m/>
    <m/>
    <n v="94.88"/>
    <m/>
    <m/>
    <n v="94.88"/>
  </r>
  <r>
    <x v="43"/>
    <s v="GRC"/>
    <x v="1"/>
    <s v="FX.OWN.TOTL.FE.ZS"/>
    <m/>
    <m/>
    <n v="93.43"/>
    <m/>
    <m/>
    <n v="93.43"/>
  </r>
  <r>
    <x v="43"/>
    <s v="GRC"/>
    <x v="2"/>
    <s v="FX.OWN.TOTL.MA.ZS"/>
    <m/>
    <m/>
    <n v="96.33"/>
    <m/>
    <m/>
    <n v="96.33"/>
  </r>
  <r>
    <x v="43"/>
    <s v="GRC"/>
    <x v="3"/>
    <s v="FX.OWN.TOTL.40.ZS"/>
    <m/>
    <m/>
    <n v="91.64"/>
    <m/>
    <m/>
    <n v="91.64"/>
  </r>
  <r>
    <x v="43"/>
    <s v="GRC"/>
    <x v="4"/>
    <s v="FX.OWN.TOTL.YG.ZS"/>
    <m/>
    <m/>
    <n v="90.14"/>
    <m/>
    <m/>
    <n v="90.14"/>
  </r>
  <r>
    <x v="43"/>
    <s v="GRC"/>
    <x v="5"/>
    <s v="FX.OWN.TOTL.PL.ZS"/>
    <m/>
    <m/>
    <n v="91.83"/>
    <m/>
    <m/>
    <n v="91.83"/>
  </r>
  <r>
    <x v="43"/>
    <s v="GRC"/>
    <x v="6"/>
    <s v="SL.TLF.0714.WK.TM"/>
    <m/>
    <m/>
    <m/>
    <m/>
    <m/>
    <n v="0"/>
  </r>
  <r>
    <x v="43"/>
    <s v="GRC"/>
    <x v="7"/>
    <s v="IC.FRM.BRIB.ZS"/>
    <m/>
    <m/>
    <m/>
    <m/>
    <n v="5.5"/>
    <n v="5.5"/>
  </r>
  <r>
    <x v="43"/>
    <s v="GRC"/>
    <x v="8"/>
    <s v="IC.BUS.DISC.XQ"/>
    <n v="9"/>
    <m/>
    <m/>
    <m/>
    <m/>
    <n v="9"/>
  </r>
  <r>
    <x v="43"/>
    <s v="GRC"/>
    <x v="9"/>
    <s v="GC.DOD.TOTL.GD.ZS"/>
    <n v="210.35007249520399"/>
    <n v="249.411353803704"/>
    <n v="233.53697368464901"/>
    <n v="202.07913542852199"/>
    <m/>
    <n v="249.411353803704"/>
  </r>
  <r>
    <x v="43"/>
    <s v="GRC"/>
    <x v="10"/>
    <s v="SE.COM.DURS"/>
    <n v="10"/>
    <n v="10"/>
    <n v="10"/>
    <n v="10"/>
    <n v="10"/>
    <n v="10"/>
  </r>
  <r>
    <x v="43"/>
    <s v="GRC"/>
    <x v="11"/>
    <s v="CC.PER.RNK"/>
    <n v="56.666667938232401"/>
    <n v="57.142856597900398"/>
    <n v="59.523811340332003"/>
    <n v="56.603775024414098"/>
    <n v="58.018867492675803"/>
    <n v="59.523811340332003"/>
  </r>
  <r>
    <x v="43"/>
    <s v="GRC"/>
    <x v="12"/>
    <s v="per_sa_allsa.cov_pop_tot"/>
    <m/>
    <m/>
    <m/>
    <m/>
    <m/>
    <n v="0"/>
  </r>
  <r>
    <x v="43"/>
    <s v="GRC"/>
    <x v="13"/>
    <s v="per_si_allsi.cov_q1_tot"/>
    <m/>
    <m/>
    <m/>
    <m/>
    <m/>
    <n v="0"/>
  </r>
  <r>
    <x v="43"/>
    <s v="GRC"/>
    <x v="14"/>
    <s v="SP.DYN.TO65.FE.ZS"/>
    <n v="93.564454999999995"/>
    <n v="92.879463999999999"/>
    <n v="91.921391999999997"/>
    <n v="91.807771000000002"/>
    <m/>
    <n v="93.564454999999995"/>
  </r>
  <r>
    <x v="43"/>
    <s v="GRC"/>
    <x v="15"/>
    <s v="SP.POP.TECH.RD.P6"/>
    <m/>
    <m/>
    <m/>
    <m/>
    <m/>
    <n v="0"/>
  </r>
  <r>
    <x v="43"/>
    <s v="GRC"/>
    <x v="16"/>
    <s v="IC.REG.DURS"/>
    <n v="4"/>
    <m/>
    <m/>
    <m/>
    <m/>
    <n v="4"/>
  </r>
  <r>
    <x v="44"/>
    <s v="GTM"/>
    <x v="0"/>
    <s v="FX.OWN.TOTL.ZS"/>
    <m/>
    <m/>
    <m/>
    <n v="36.979999999999997"/>
    <m/>
    <n v="36.979999999999997"/>
  </r>
  <r>
    <x v="44"/>
    <s v="GTM"/>
    <x v="1"/>
    <s v="FX.OWN.TOTL.FE.ZS"/>
    <m/>
    <m/>
    <m/>
    <n v="34.35"/>
    <m/>
    <n v="34.35"/>
  </r>
  <r>
    <x v="44"/>
    <s v="GTM"/>
    <x v="2"/>
    <s v="FX.OWN.TOTL.MA.ZS"/>
    <m/>
    <m/>
    <m/>
    <n v="39.93"/>
    <m/>
    <n v="39.93"/>
  </r>
  <r>
    <x v="44"/>
    <s v="GTM"/>
    <x v="3"/>
    <s v="FX.OWN.TOTL.40.ZS"/>
    <m/>
    <m/>
    <m/>
    <n v="33.869999999999997"/>
    <m/>
    <n v="33.869999999999997"/>
  </r>
  <r>
    <x v="44"/>
    <s v="GTM"/>
    <x v="4"/>
    <s v="FX.OWN.TOTL.YG.ZS"/>
    <m/>
    <m/>
    <m/>
    <n v="38.18"/>
    <m/>
    <n v="38.18"/>
  </r>
  <r>
    <x v="44"/>
    <s v="GTM"/>
    <x v="5"/>
    <s v="FX.OWN.TOTL.PL.ZS"/>
    <m/>
    <m/>
    <m/>
    <n v="29.04"/>
    <m/>
    <n v="29.04"/>
  </r>
  <r>
    <x v="44"/>
    <s v="GTM"/>
    <x v="6"/>
    <s v="SL.TLF.0714.WK.TM"/>
    <m/>
    <m/>
    <m/>
    <m/>
    <m/>
    <n v="0"/>
  </r>
  <r>
    <x v="44"/>
    <s v="GTM"/>
    <x v="7"/>
    <s v="IC.FRM.BRIB.ZS"/>
    <m/>
    <m/>
    <m/>
    <m/>
    <m/>
    <n v="0"/>
  </r>
  <r>
    <x v="44"/>
    <s v="GTM"/>
    <x v="8"/>
    <s v="IC.BUS.DISC.XQ"/>
    <n v="3"/>
    <m/>
    <m/>
    <m/>
    <m/>
    <n v="3"/>
  </r>
  <r>
    <x v="44"/>
    <s v="GTM"/>
    <x v="9"/>
    <s v="GC.DOD.TOTL.GD.ZS"/>
    <m/>
    <m/>
    <m/>
    <m/>
    <m/>
    <n v="0"/>
  </r>
  <r>
    <x v="44"/>
    <s v="GTM"/>
    <x v="10"/>
    <s v="SE.COM.DURS"/>
    <n v="16"/>
    <n v="16"/>
    <n v="16"/>
    <n v="16"/>
    <n v="16"/>
    <n v="16"/>
  </r>
  <r>
    <x v="44"/>
    <s v="GTM"/>
    <x v="11"/>
    <s v="CC.PER.RNK"/>
    <n v="18.571428298950199"/>
    <n v="12.8571424484253"/>
    <n v="11.904762268066399"/>
    <n v="11.3207550048828"/>
    <n v="14.1509437561035"/>
    <n v="18.571428298950199"/>
  </r>
  <r>
    <x v="44"/>
    <s v="GTM"/>
    <x v="12"/>
    <s v="per_sa_allsa.cov_pop_tot"/>
    <m/>
    <m/>
    <m/>
    <m/>
    <m/>
    <n v="0"/>
  </r>
  <r>
    <x v="44"/>
    <s v="GTM"/>
    <x v="13"/>
    <s v="per_si_allsi.cov_q1_tot"/>
    <m/>
    <m/>
    <m/>
    <m/>
    <m/>
    <n v="0"/>
  </r>
  <r>
    <x v="44"/>
    <s v="GTM"/>
    <x v="14"/>
    <s v="SP.DYN.TO65.FE.ZS"/>
    <n v="78.985461000000001"/>
    <n v="77.047269999999997"/>
    <n v="72.488350999999994"/>
    <n v="78.105203000000003"/>
    <m/>
    <n v="78.985461000000001"/>
  </r>
  <r>
    <x v="44"/>
    <s v="GTM"/>
    <x v="15"/>
    <s v="SP.POP.TECH.RD.P6"/>
    <m/>
    <m/>
    <m/>
    <m/>
    <m/>
    <n v="0"/>
  </r>
  <r>
    <x v="44"/>
    <s v="GTM"/>
    <x v="16"/>
    <s v="IC.REG.DURS"/>
    <n v="15"/>
    <m/>
    <m/>
    <m/>
    <m/>
    <n v="15"/>
  </r>
  <r>
    <x v="45"/>
    <s v="GUY"/>
    <x v="0"/>
    <s v="FX.OWN.TOTL.ZS"/>
    <m/>
    <m/>
    <m/>
    <m/>
    <m/>
    <n v="0"/>
  </r>
  <r>
    <x v="45"/>
    <s v="GUY"/>
    <x v="1"/>
    <s v="FX.OWN.TOTL.FE.ZS"/>
    <m/>
    <m/>
    <m/>
    <m/>
    <m/>
    <n v="0"/>
  </r>
  <r>
    <x v="45"/>
    <s v="GUY"/>
    <x v="2"/>
    <s v="FX.OWN.TOTL.MA.ZS"/>
    <m/>
    <m/>
    <m/>
    <m/>
    <m/>
    <n v="0"/>
  </r>
  <r>
    <x v="45"/>
    <s v="GUY"/>
    <x v="3"/>
    <s v="FX.OWN.TOTL.40.ZS"/>
    <m/>
    <m/>
    <m/>
    <m/>
    <m/>
    <n v="0"/>
  </r>
  <r>
    <x v="45"/>
    <s v="GUY"/>
    <x v="4"/>
    <s v="FX.OWN.TOTL.YG.ZS"/>
    <m/>
    <m/>
    <m/>
    <m/>
    <m/>
    <n v="0"/>
  </r>
  <r>
    <x v="45"/>
    <s v="GUY"/>
    <x v="5"/>
    <s v="FX.OWN.TOTL.PL.ZS"/>
    <m/>
    <m/>
    <m/>
    <m/>
    <m/>
    <n v="0"/>
  </r>
  <r>
    <x v="45"/>
    <s v="GUY"/>
    <x v="6"/>
    <s v="SL.TLF.0714.WK.TM"/>
    <m/>
    <m/>
    <m/>
    <m/>
    <m/>
    <n v="0"/>
  </r>
  <r>
    <x v="45"/>
    <s v="GUY"/>
    <x v="7"/>
    <s v="IC.FRM.BRIB.ZS"/>
    <m/>
    <m/>
    <m/>
    <m/>
    <m/>
    <n v="0"/>
  </r>
  <r>
    <x v="45"/>
    <s v="GUY"/>
    <x v="8"/>
    <s v="IC.BUS.DISC.XQ"/>
    <n v="5"/>
    <m/>
    <m/>
    <m/>
    <m/>
    <n v="5"/>
  </r>
  <r>
    <x v="45"/>
    <s v="GUY"/>
    <x v="9"/>
    <s v="GC.DOD.TOTL.GD.ZS"/>
    <m/>
    <m/>
    <m/>
    <m/>
    <m/>
    <n v="0"/>
  </r>
  <r>
    <x v="45"/>
    <s v="GUY"/>
    <x v="10"/>
    <s v="SE.COM.DURS"/>
    <n v="6"/>
    <n v="6"/>
    <n v="6"/>
    <n v="6"/>
    <n v="6"/>
    <n v="6"/>
  </r>
  <r>
    <x v="45"/>
    <s v="GUY"/>
    <x v="11"/>
    <s v="CC.PER.RNK"/>
    <n v="50.476188659667997"/>
    <n v="46.666667938232401"/>
    <n v="48.5714302062988"/>
    <n v="45.754718780517599"/>
    <n v="40.566036224365199"/>
    <n v="50.476188659667997"/>
  </r>
  <r>
    <x v="45"/>
    <s v="GUY"/>
    <x v="12"/>
    <s v="per_sa_allsa.cov_pop_tot"/>
    <m/>
    <m/>
    <m/>
    <m/>
    <m/>
    <n v="0"/>
  </r>
  <r>
    <x v="45"/>
    <s v="GUY"/>
    <x v="13"/>
    <s v="per_si_allsi.cov_q1_tot"/>
    <m/>
    <m/>
    <m/>
    <m/>
    <m/>
    <n v="0"/>
  </r>
  <r>
    <x v="45"/>
    <s v="GUY"/>
    <x v="14"/>
    <s v="SP.DYN.TO65.FE.ZS"/>
    <n v="75.298857999999996"/>
    <n v="73.588172"/>
    <n v="65.078907999999998"/>
    <n v="76.721147999999999"/>
    <m/>
    <n v="76.721147999999999"/>
  </r>
  <r>
    <x v="45"/>
    <s v="GUY"/>
    <x v="15"/>
    <s v="SP.POP.TECH.RD.P6"/>
    <m/>
    <m/>
    <m/>
    <m/>
    <m/>
    <n v="0"/>
  </r>
  <r>
    <x v="45"/>
    <s v="GUY"/>
    <x v="16"/>
    <s v="IC.REG.DURS"/>
    <n v="18"/>
    <m/>
    <m/>
    <m/>
    <m/>
    <n v="18"/>
  </r>
  <r>
    <x v="46"/>
    <s v="HTI"/>
    <x v="0"/>
    <s v="FX.OWN.TOTL.ZS"/>
    <m/>
    <m/>
    <m/>
    <m/>
    <m/>
    <n v="0"/>
  </r>
  <r>
    <x v="46"/>
    <s v="HTI"/>
    <x v="1"/>
    <s v="FX.OWN.TOTL.FE.ZS"/>
    <m/>
    <m/>
    <m/>
    <m/>
    <m/>
    <n v="0"/>
  </r>
  <r>
    <x v="46"/>
    <s v="HTI"/>
    <x v="2"/>
    <s v="FX.OWN.TOTL.MA.ZS"/>
    <m/>
    <m/>
    <m/>
    <m/>
    <m/>
    <n v="0"/>
  </r>
  <r>
    <x v="46"/>
    <s v="HTI"/>
    <x v="3"/>
    <s v="FX.OWN.TOTL.40.ZS"/>
    <m/>
    <m/>
    <m/>
    <m/>
    <m/>
    <n v="0"/>
  </r>
  <r>
    <x v="46"/>
    <s v="HTI"/>
    <x v="4"/>
    <s v="FX.OWN.TOTL.YG.ZS"/>
    <m/>
    <m/>
    <m/>
    <m/>
    <m/>
    <n v="0"/>
  </r>
  <r>
    <x v="46"/>
    <s v="HTI"/>
    <x v="5"/>
    <s v="FX.OWN.TOTL.PL.ZS"/>
    <m/>
    <m/>
    <m/>
    <m/>
    <m/>
    <n v="0"/>
  </r>
  <r>
    <x v="46"/>
    <s v="HTI"/>
    <x v="6"/>
    <s v="SL.TLF.0714.WK.TM"/>
    <m/>
    <m/>
    <m/>
    <m/>
    <m/>
    <n v="0"/>
  </r>
  <r>
    <x v="46"/>
    <s v="HTI"/>
    <x v="7"/>
    <s v="IC.FRM.BRIB.ZS"/>
    <m/>
    <m/>
    <m/>
    <m/>
    <m/>
    <n v="0"/>
  </r>
  <r>
    <x v="46"/>
    <s v="HTI"/>
    <x v="8"/>
    <s v="IC.BUS.DISC.XQ"/>
    <n v="2"/>
    <m/>
    <m/>
    <m/>
    <m/>
    <n v="2"/>
  </r>
  <r>
    <x v="46"/>
    <s v="HTI"/>
    <x v="9"/>
    <s v="GC.DOD.TOTL.GD.ZS"/>
    <m/>
    <m/>
    <m/>
    <m/>
    <m/>
    <n v="0"/>
  </r>
  <r>
    <x v="46"/>
    <s v="HTI"/>
    <x v="10"/>
    <s v="SE.COM.DURS"/>
    <n v="6"/>
    <n v="6"/>
    <n v="6"/>
    <n v="6"/>
    <n v="6"/>
    <n v="6"/>
  </r>
  <r>
    <x v="46"/>
    <s v="HTI"/>
    <x v="11"/>
    <s v="CC.PER.RNK"/>
    <n v="8.5714282989502006"/>
    <n v="7.6190476417541504"/>
    <n v="5.2380952835082999"/>
    <n v="5.1886792182922399"/>
    <n v="6.1320753097534197"/>
    <n v="8.5714282989502006"/>
  </r>
  <r>
    <x v="46"/>
    <s v="HTI"/>
    <x v="12"/>
    <s v="per_sa_allsa.cov_pop_tot"/>
    <m/>
    <m/>
    <m/>
    <m/>
    <m/>
    <n v="0"/>
  </r>
  <r>
    <x v="46"/>
    <s v="HTI"/>
    <x v="13"/>
    <s v="per_si_allsi.cov_q1_tot"/>
    <m/>
    <m/>
    <m/>
    <m/>
    <m/>
    <n v="0"/>
  </r>
  <r>
    <x v="46"/>
    <s v="HTI"/>
    <x v="14"/>
    <s v="SP.DYN.TO65.FE.ZS"/>
    <n v="70.181115000000005"/>
    <n v="69.344311000000005"/>
    <n v="66.220327999999995"/>
    <n v="69.511574999999993"/>
    <m/>
    <n v="70.181115000000005"/>
  </r>
  <r>
    <x v="46"/>
    <s v="HTI"/>
    <x v="15"/>
    <s v="SP.POP.TECH.RD.P6"/>
    <m/>
    <m/>
    <m/>
    <m/>
    <m/>
    <n v="0"/>
  </r>
  <r>
    <x v="46"/>
    <s v="HTI"/>
    <x v="16"/>
    <s v="IC.REG.DURS"/>
    <n v="97"/>
    <m/>
    <m/>
    <m/>
    <m/>
    <n v="97"/>
  </r>
  <r>
    <x v="47"/>
    <s v="HND"/>
    <x v="0"/>
    <s v="FX.OWN.TOTL.ZS"/>
    <m/>
    <m/>
    <n v="37.85"/>
    <m/>
    <m/>
    <n v="37.85"/>
  </r>
  <r>
    <x v="47"/>
    <s v="HND"/>
    <x v="1"/>
    <s v="FX.OWN.TOTL.FE.ZS"/>
    <m/>
    <m/>
    <n v="28.85"/>
    <m/>
    <m/>
    <n v="28.85"/>
  </r>
  <r>
    <x v="47"/>
    <s v="HND"/>
    <x v="2"/>
    <s v="FX.OWN.TOTL.MA.ZS"/>
    <m/>
    <m/>
    <n v="48.56"/>
    <m/>
    <m/>
    <n v="48.56"/>
  </r>
  <r>
    <x v="47"/>
    <s v="HND"/>
    <x v="3"/>
    <s v="FX.OWN.TOTL.40.ZS"/>
    <m/>
    <m/>
    <n v="26.97"/>
    <m/>
    <m/>
    <n v="26.97"/>
  </r>
  <r>
    <x v="47"/>
    <s v="HND"/>
    <x v="4"/>
    <s v="FX.OWN.TOTL.YG.ZS"/>
    <m/>
    <m/>
    <n v="36.1"/>
    <m/>
    <m/>
    <n v="36.1"/>
  </r>
  <r>
    <x v="47"/>
    <s v="HND"/>
    <x v="5"/>
    <s v="FX.OWN.TOTL.PL.ZS"/>
    <m/>
    <m/>
    <n v="31.83"/>
    <m/>
    <m/>
    <n v="31.83"/>
  </r>
  <r>
    <x v="47"/>
    <s v="HND"/>
    <x v="6"/>
    <s v="SL.TLF.0714.WK.TM"/>
    <m/>
    <m/>
    <m/>
    <m/>
    <m/>
    <n v="0"/>
  </r>
  <r>
    <x v="47"/>
    <s v="HND"/>
    <x v="7"/>
    <s v="IC.FRM.BRIB.ZS"/>
    <m/>
    <m/>
    <m/>
    <m/>
    <m/>
    <n v="0"/>
  </r>
  <r>
    <x v="47"/>
    <s v="HND"/>
    <x v="8"/>
    <s v="IC.BUS.DISC.XQ"/>
    <n v="3"/>
    <m/>
    <m/>
    <m/>
    <m/>
    <n v="3"/>
  </r>
  <r>
    <x v="47"/>
    <s v="HND"/>
    <x v="9"/>
    <s v="GC.DOD.TOTL.GD.ZS"/>
    <m/>
    <m/>
    <m/>
    <m/>
    <m/>
    <n v="0"/>
  </r>
  <r>
    <x v="47"/>
    <s v="HND"/>
    <x v="10"/>
    <s v="SE.COM.DURS"/>
    <n v="12"/>
    <n v="12"/>
    <n v="12"/>
    <n v="12"/>
    <n v="12"/>
    <n v="12"/>
  </r>
  <r>
    <x v="47"/>
    <s v="HND"/>
    <x v="11"/>
    <s v="CC.PER.RNK"/>
    <n v="21.428571701049801"/>
    <n v="17.619047164916999"/>
    <n v="14.761904716491699"/>
    <n v="17.9245281219482"/>
    <n v="15.0943393707275"/>
    <n v="21.428571701049801"/>
  </r>
  <r>
    <x v="47"/>
    <s v="HND"/>
    <x v="12"/>
    <s v="per_sa_allsa.cov_pop_tot"/>
    <n v="11.197468643693799"/>
    <m/>
    <m/>
    <m/>
    <m/>
    <n v="11.197468643693799"/>
  </r>
  <r>
    <x v="47"/>
    <s v="HND"/>
    <x v="13"/>
    <s v="per_si_allsi.cov_q1_tot"/>
    <n v="0.202738011804246"/>
    <m/>
    <m/>
    <m/>
    <m/>
    <n v="0.202738011804246"/>
  </r>
  <r>
    <x v="47"/>
    <s v="HND"/>
    <x v="14"/>
    <s v="SP.DYN.TO65.FE.ZS"/>
    <n v="81.099920999999995"/>
    <n v="79.455258999999998"/>
    <n v="76.030826000000005"/>
    <n v="82.010129000000006"/>
    <m/>
    <n v="82.010129000000006"/>
  </r>
  <r>
    <x v="47"/>
    <s v="HND"/>
    <x v="15"/>
    <s v="SP.POP.TECH.RD.P6"/>
    <m/>
    <m/>
    <m/>
    <m/>
    <m/>
    <n v="0"/>
  </r>
  <r>
    <x v="47"/>
    <s v="HND"/>
    <x v="16"/>
    <s v="IC.REG.DURS"/>
    <n v="42"/>
    <m/>
    <m/>
    <m/>
    <m/>
    <n v="42"/>
  </r>
  <r>
    <x v="48"/>
    <s v="HKG"/>
    <x v="0"/>
    <s v="FX.OWN.TOTL.ZS"/>
    <m/>
    <m/>
    <n v="97.8"/>
    <m/>
    <m/>
    <n v="97.8"/>
  </r>
  <r>
    <x v="48"/>
    <s v="HKG"/>
    <x v="1"/>
    <s v="FX.OWN.TOTL.FE.ZS"/>
    <m/>
    <m/>
    <n v="98.19"/>
    <m/>
    <m/>
    <n v="98.19"/>
  </r>
  <r>
    <x v="48"/>
    <s v="HKG"/>
    <x v="2"/>
    <s v="FX.OWN.TOTL.MA.ZS"/>
    <m/>
    <m/>
    <n v="97.33"/>
    <m/>
    <m/>
    <n v="97.33"/>
  </r>
  <r>
    <x v="48"/>
    <s v="HKG"/>
    <x v="3"/>
    <s v="FX.OWN.TOTL.40.ZS"/>
    <m/>
    <m/>
    <n v="96.46"/>
    <m/>
    <m/>
    <n v="96.46"/>
  </r>
  <r>
    <x v="48"/>
    <s v="HKG"/>
    <x v="4"/>
    <s v="FX.OWN.TOTL.YG.ZS"/>
    <m/>
    <m/>
    <n v="88.88"/>
    <m/>
    <m/>
    <n v="88.88"/>
  </r>
  <r>
    <x v="48"/>
    <s v="HKG"/>
    <x v="5"/>
    <s v="FX.OWN.TOTL.PL.ZS"/>
    <m/>
    <m/>
    <n v="96.14"/>
    <m/>
    <m/>
    <n v="96.14"/>
  </r>
  <r>
    <x v="48"/>
    <s v="HKG"/>
    <x v="6"/>
    <s v="SL.TLF.0714.WK.TM"/>
    <m/>
    <m/>
    <m/>
    <m/>
    <m/>
    <n v="0"/>
  </r>
  <r>
    <x v="48"/>
    <s v="HKG"/>
    <x v="7"/>
    <s v="IC.FRM.BRIB.ZS"/>
    <m/>
    <m/>
    <m/>
    <m/>
    <n v="2.6"/>
    <n v="2.6"/>
  </r>
  <r>
    <x v="48"/>
    <s v="HKG"/>
    <x v="8"/>
    <s v="IC.BUS.DISC.XQ"/>
    <n v="10"/>
    <m/>
    <m/>
    <m/>
    <m/>
    <n v="10"/>
  </r>
  <r>
    <x v="48"/>
    <s v="HKG"/>
    <x v="9"/>
    <s v="GC.DOD.TOTL.GD.ZS"/>
    <m/>
    <m/>
    <m/>
    <m/>
    <m/>
    <n v="0"/>
  </r>
  <r>
    <x v="48"/>
    <s v="HKG"/>
    <x v="10"/>
    <s v="SE.COM.DURS"/>
    <n v="9"/>
    <n v="9"/>
    <n v="9"/>
    <n v="9"/>
    <n v="9"/>
    <n v="9"/>
  </r>
  <r>
    <x v="48"/>
    <s v="HKG"/>
    <x v="11"/>
    <s v="CC.PER.RNK"/>
    <n v="91.904762268066406"/>
    <n v="92.857139587402301"/>
    <n v="94.285713195800795"/>
    <n v="92.452827453613295"/>
    <n v="93.396224975585895"/>
    <n v="94.285713195800795"/>
  </r>
  <r>
    <x v="48"/>
    <s v="HKG"/>
    <x v="12"/>
    <s v="per_sa_allsa.cov_pop_tot"/>
    <m/>
    <m/>
    <m/>
    <m/>
    <m/>
    <n v="0"/>
  </r>
  <r>
    <x v="48"/>
    <s v="HKG"/>
    <x v="13"/>
    <s v="per_si_allsi.cov_q1_tot"/>
    <m/>
    <m/>
    <m/>
    <m/>
    <m/>
    <n v="0"/>
  </r>
  <r>
    <x v="48"/>
    <s v="HKG"/>
    <x v="14"/>
    <s v="SP.DYN.TO65.FE.ZS"/>
    <n v="94.539866000000004"/>
    <n v="94.528649999999999"/>
    <n v="94.421356000000003"/>
    <n v="93.992239999999995"/>
    <m/>
    <n v="94.539866000000004"/>
  </r>
  <r>
    <x v="48"/>
    <s v="HKG"/>
    <x v="15"/>
    <s v="SP.POP.TECH.RD.P6"/>
    <m/>
    <m/>
    <m/>
    <m/>
    <m/>
    <n v="0"/>
  </r>
  <r>
    <x v="48"/>
    <s v="HKG"/>
    <x v="16"/>
    <s v="IC.REG.DURS"/>
    <n v="1.5"/>
    <m/>
    <m/>
    <m/>
    <m/>
    <n v="1.5"/>
  </r>
  <r>
    <x v="49"/>
    <s v="HUN"/>
    <x v="0"/>
    <s v="FX.OWN.TOTL.ZS"/>
    <m/>
    <m/>
    <n v="88.22"/>
    <m/>
    <m/>
    <n v="88.22"/>
  </r>
  <r>
    <x v="49"/>
    <s v="HUN"/>
    <x v="1"/>
    <s v="FX.OWN.TOTL.FE.ZS"/>
    <m/>
    <m/>
    <n v="86.88"/>
    <m/>
    <m/>
    <n v="86.88"/>
  </r>
  <r>
    <x v="49"/>
    <s v="HUN"/>
    <x v="2"/>
    <s v="FX.OWN.TOTL.MA.ZS"/>
    <m/>
    <m/>
    <n v="89.73"/>
    <m/>
    <m/>
    <n v="89.73"/>
  </r>
  <r>
    <x v="49"/>
    <s v="HUN"/>
    <x v="3"/>
    <s v="FX.OWN.TOTL.40.ZS"/>
    <m/>
    <m/>
    <n v="81.25"/>
    <m/>
    <m/>
    <n v="81.25"/>
  </r>
  <r>
    <x v="49"/>
    <s v="HUN"/>
    <x v="4"/>
    <s v="FX.OWN.TOTL.YG.ZS"/>
    <m/>
    <m/>
    <n v="92.49"/>
    <m/>
    <m/>
    <n v="92.49"/>
  </r>
  <r>
    <x v="49"/>
    <s v="HUN"/>
    <x v="5"/>
    <s v="FX.OWN.TOTL.PL.ZS"/>
    <m/>
    <m/>
    <n v="71.58"/>
    <m/>
    <m/>
    <n v="71.58"/>
  </r>
  <r>
    <x v="49"/>
    <s v="HUN"/>
    <x v="6"/>
    <s v="SL.TLF.0714.WK.TM"/>
    <m/>
    <m/>
    <m/>
    <m/>
    <m/>
    <n v="0"/>
  </r>
  <r>
    <x v="49"/>
    <s v="HUN"/>
    <x v="7"/>
    <s v="IC.FRM.BRIB.ZS"/>
    <n v="4.7"/>
    <m/>
    <m/>
    <m/>
    <n v="1.2"/>
    <n v="4.7"/>
  </r>
  <r>
    <x v="49"/>
    <s v="HUN"/>
    <x v="8"/>
    <s v="IC.BUS.DISC.XQ"/>
    <n v="2"/>
    <m/>
    <m/>
    <m/>
    <m/>
    <n v="2"/>
  </r>
  <r>
    <x v="49"/>
    <s v="HUN"/>
    <x v="9"/>
    <s v="GC.DOD.TOTL.GD.ZS"/>
    <n v="83.3683015926417"/>
    <n v="95.937202249321601"/>
    <n v="86.923686246622296"/>
    <n v="75.525953475136205"/>
    <m/>
    <n v="95.937202249321601"/>
  </r>
  <r>
    <x v="49"/>
    <s v="HUN"/>
    <x v="10"/>
    <s v="SE.COM.DURS"/>
    <n v="13"/>
    <n v="13"/>
    <n v="13"/>
    <n v="13"/>
    <n v="13"/>
    <n v="13"/>
  </r>
  <r>
    <x v="49"/>
    <s v="HUN"/>
    <x v="11"/>
    <s v="CC.PER.RNK"/>
    <n v="57.619049072265597"/>
    <n v="58.5714302062988"/>
    <n v="55.238094329833999"/>
    <n v="51.415092468261697"/>
    <n v="54.7169799804688"/>
    <n v="58.5714302062988"/>
  </r>
  <r>
    <x v="49"/>
    <s v="HUN"/>
    <x v="12"/>
    <s v="per_sa_allsa.cov_pop_tot"/>
    <m/>
    <m/>
    <m/>
    <m/>
    <m/>
    <n v="0"/>
  </r>
  <r>
    <x v="49"/>
    <s v="HUN"/>
    <x v="13"/>
    <s v="per_si_allsi.cov_q1_tot"/>
    <m/>
    <m/>
    <m/>
    <m/>
    <m/>
    <n v="0"/>
  </r>
  <r>
    <x v="49"/>
    <s v="HUN"/>
    <x v="14"/>
    <s v="SP.DYN.TO65.FE.ZS"/>
    <n v="87.281903"/>
    <n v="86.706773999999996"/>
    <n v="84.033985999999999"/>
    <n v="87.002623999999997"/>
    <m/>
    <n v="87.281903"/>
  </r>
  <r>
    <x v="49"/>
    <s v="HUN"/>
    <x v="15"/>
    <s v="SP.POP.TECH.RD.P6"/>
    <m/>
    <m/>
    <m/>
    <m/>
    <m/>
    <n v="0"/>
  </r>
  <r>
    <x v="49"/>
    <s v="HUN"/>
    <x v="16"/>
    <s v="IC.REG.DURS"/>
    <n v="7"/>
    <m/>
    <m/>
    <m/>
    <m/>
    <n v="7"/>
  </r>
  <r>
    <x v="50"/>
    <s v="ISL"/>
    <x v="0"/>
    <s v="FX.OWN.TOTL.ZS"/>
    <m/>
    <m/>
    <n v="100"/>
    <m/>
    <m/>
    <n v="100"/>
  </r>
  <r>
    <x v="50"/>
    <s v="ISL"/>
    <x v="1"/>
    <s v="FX.OWN.TOTL.FE.ZS"/>
    <m/>
    <m/>
    <n v="100"/>
    <m/>
    <m/>
    <n v="100"/>
  </r>
  <r>
    <x v="50"/>
    <s v="ISL"/>
    <x v="2"/>
    <s v="FX.OWN.TOTL.MA.ZS"/>
    <m/>
    <m/>
    <n v="100"/>
    <m/>
    <m/>
    <n v="100"/>
  </r>
  <r>
    <x v="50"/>
    <s v="ISL"/>
    <x v="3"/>
    <s v="FX.OWN.TOTL.40.ZS"/>
    <m/>
    <m/>
    <n v="100"/>
    <m/>
    <m/>
    <n v="100"/>
  </r>
  <r>
    <x v="50"/>
    <s v="ISL"/>
    <x v="4"/>
    <s v="FX.OWN.TOTL.YG.ZS"/>
    <m/>
    <m/>
    <n v="100"/>
    <m/>
    <m/>
    <n v="100"/>
  </r>
  <r>
    <x v="50"/>
    <s v="ISL"/>
    <x v="5"/>
    <s v="FX.OWN.TOTL.PL.ZS"/>
    <m/>
    <m/>
    <n v="100"/>
    <m/>
    <m/>
    <n v="100"/>
  </r>
  <r>
    <x v="50"/>
    <s v="ISL"/>
    <x v="6"/>
    <s v="SL.TLF.0714.WK.TM"/>
    <m/>
    <m/>
    <m/>
    <m/>
    <m/>
    <n v="0"/>
  </r>
  <r>
    <x v="50"/>
    <s v="ISL"/>
    <x v="7"/>
    <s v="IC.FRM.BRIB.ZS"/>
    <m/>
    <m/>
    <m/>
    <m/>
    <m/>
    <n v="0"/>
  </r>
  <r>
    <x v="50"/>
    <s v="ISL"/>
    <x v="8"/>
    <s v="IC.BUS.DISC.XQ"/>
    <n v="7"/>
    <m/>
    <m/>
    <m/>
    <m/>
    <n v="7"/>
  </r>
  <r>
    <x v="50"/>
    <s v="ISL"/>
    <x v="9"/>
    <s v="GC.DOD.TOTL.GD.ZS"/>
    <n v="90.114189466387302"/>
    <n v="100.316262095676"/>
    <n v="95.821704826885906"/>
    <n v="86.290975677555096"/>
    <n v="81.057881230836898"/>
    <n v="100.316262095676"/>
  </r>
  <r>
    <x v="50"/>
    <s v="ISL"/>
    <x v="10"/>
    <s v="SE.COM.DURS"/>
    <n v="10"/>
    <n v="10"/>
    <n v="10"/>
    <n v="10"/>
    <n v="10"/>
    <n v="10"/>
  </r>
  <r>
    <x v="50"/>
    <s v="ISL"/>
    <x v="11"/>
    <s v="CC.PER.RNK"/>
    <n v="92.380950927734403"/>
    <n v="94.761901855468807"/>
    <n v="95.238098144531193"/>
    <n v="91.509437561035199"/>
    <n v="91.981132507324205"/>
    <n v="95.238098144531193"/>
  </r>
  <r>
    <x v="50"/>
    <s v="ISL"/>
    <x v="12"/>
    <s v="per_sa_allsa.cov_pop_tot"/>
    <m/>
    <m/>
    <m/>
    <m/>
    <m/>
    <n v="0"/>
  </r>
  <r>
    <x v="50"/>
    <s v="ISL"/>
    <x v="13"/>
    <s v="per_si_allsi.cov_q1_tot"/>
    <m/>
    <m/>
    <m/>
    <m/>
    <m/>
    <n v="0"/>
  </r>
  <r>
    <x v="50"/>
    <s v="ISL"/>
    <x v="14"/>
    <s v="SP.DYN.TO65.FE.ZS"/>
    <n v="93.100226000000006"/>
    <n v="92.769328999999999"/>
    <n v="93.233912000000004"/>
    <n v="92.295747000000006"/>
    <m/>
    <n v="93.233912000000004"/>
  </r>
  <r>
    <x v="50"/>
    <s v="ISL"/>
    <x v="15"/>
    <s v="SP.POP.TECH.RD.P6"/>
    <m/>
    <m/>
    <m/>
    <m/>
    <m/>
    <n v="0"/>
  </r>
  <r>
    <x v="50"/>
    <s v="ISL"/>
    <x v="16"/>
    <s v="IC.REG.DURS"/>
    <n v="11.5"/>
    <m/>
    <m/>
    <m/>
    <m/>
    <n v="11.5"/>
  </r>
  <r>
    <x v="51"/>
    <s v="IND"/>
    <x v="0"/>
    <s v="FX.OWN.TOTL.ZS"/>
    <m/>
    <m/>
    <n v="77.53"/>
    <m/>
    <m/>
    <n v="77.53"/>
  </r>
  <r>
    <x v="51"/>
    <s v="IND"/>
    <x v="1"/>
    <s v="FX.OWN.TOTL.FE.ZS"/>
    <m/>
    <m/>
    <n v="77.55"/>
    <m/>
    <m/>
    <n v="77.55"/>
  </r>
  <r>
    <x v="51"/>
    <s v="IND"/>
    <x v="2"/>
    <s v="FX.OWN.TOTL.MA.ZS"/>
    <m/>
    <m/>
    <n v="77.510000000000005"/>
    <m/>
    <m/>
    <n v="77.510000000000005"/>
  </r>
  <r>
    <x v="51"/>
    <s v="IND"/>
    <x v="3"/>
    <s v="FX.OWN.TOTL.40.ZS"/>
    <m/>
    <m/>
    <n v="78.25"/>
    <m/>
    <m/>
    <n v="78.25"/>
  </r>
  <r>
    <x v="51"/>
    <s v="IND"/>
    <x v="4"/>
    <s v="FX.OWN.TOTL.YG.ZS"/>
    <m/>
    <m/>
    <n v="67.5"/>
    <m/>
    <m/>
    <n v="67.5"/>
  </r>
  <r>
    <x v="51"/>
    <s v="IND"/>
    <x v="5"/>
    <s v="FX.OWN.TOTL.PL.ZS"/>
    <m/>
    <m/>
    <n v="75.900000000000006"/>
    <m/>
    <m/>
    <n v="75.900000000000006"/>
  </r>
  <r>
    <x v="51"/>
    <s v="IND"/>
    <x v="6"/>
    <s v="SL.TLF.0714.WK.TM"/>
    <m/>
    <m/>
    <m/>
    <m/>
    <m/>
    <n v="0"/>
  </r>
  <r>
    <x v="51"/>
    <s v="IND"/>
    <x v="7"/>
    <s v="IC.FRM.BRIB.ZS"/>
    <m/>
    <m/>
    <m/>
    <n v="27.2"/>
    <m/>
    <n v="27.2"/>
  </r>
  <r>
    <x v="51"/>
    <s v="IND"/>
    <x v="8"/>
    <s v="IC.BUS.DISC.XQ"/>
    <n v="8"/>
    <m/>
    <m/>
    <m/>
    <m/>
    <n v="8"/>
  </r>
  <r>
    <x v="51"/>
    <s v="IND"/>
    <x v="9"/>
    <s v="GC.DOD.TOTL.GD.ZS"/>
    <m/>
    <m/>
    <m/>
    <m/>
    <m/>
    <n v="0"/>
  </r>
  <r>
    <x v="51"/>
    <s v="IND"/>
    <x v="10"/>
    <s v="SE.COM.DURS"/>
    <n v="8"/>
    <n v="8"/>
    <n v="8"/>
    <n v="8"/>
    <n v="8"/>
    <n v="8"/>
  </r>
  <r>
    <x v="51"/>
    <s v="IND"/>
    <x v="11"/>
    <s v="CC.PER.RNK"/>
    <n v="44.761905670166001"/>
    <n v="44.285713195800803"/>
    <n v="44.761905670166001"/>
    <n v="44.811321258544901"/>
    <n v="41.509433746337898"/>
    <n v="44.811321258544901"/>
  </r>
  <r>
    <x v="51"/>
    <s v="IND"/>
    <x v="12"/>
    <s v="per_sa_allsa.cov_pop_tot"/>
    <m/>
    <m/>
    <m/>
    <m/>
    <m/>
    <n v="0"/>
  </r>
  <r>
    <x v="51"/>
    <s v="IND"/>
    <x v="13"/>
    <s v="per_si_allsi.cov_q1_tot"/>
    <m/>
    <m/>
    <m/>
    <m/>
    <m/>
    <n v="0"/>
  </r>
  <r>
    <x v="51"/>
    <s v="IND"/>
    <x v="14"/>
    <s v="SP.DYN.TO65.FE.ZS"/>
    <n v="76.558341999999996"/>
    <n v="75.792372999999998"/>
    <n v="69.548677999999995"/>
    <n v="78.057246000000006"/>
    <m/>
    <n v="78.057246000000006"/>
  </r>
  <r>
    <x v="51"/>
    <s v="IND"/>
    <x v="15"/>
    <s v="SP.POP.TECH.RD.P6"/>
    <m/>
    <m/>
    <m/>
    <m/>
    <m/>
    <n v="0"/>
  </r>
  <r>
    <x v="51"/>
    <s v="IND"/>
    <x v="16"/>
    <s v="IC.REG.DURS"/>
    <n v="17.5"/>
    <m/>
    <m/>
    <m/>
    <m/>
    <n v="17.5"/>
  </r>
  <r>
    <x v="52"/>
    <s v="IDN"/>
    <x v="0"/>
    <s v="FX.OWN.TOTL.ZS"/>
    <m/>
    <m/>
    <n v="51.76"/>
    <m/>
    <m/>
    <n v="51.76"/>
  </r>
  <r>
    <x v="52"/>
    <s v="IDN"/>
    <x v="1"/>
    <s v="FX.OWN.TOTL.FE.ZS"/>
    <m/>
    <m/>
    <n v="52.3"/>
    <m/>
    <m/>
    <n v="52.3"/>
  </r>
  <r>
    <x v="52"/>
    <s v="IDN"/>
    <x v="2"/>
    <s v="FX.OWN.TOTL.MA.ZS"/>
    <m/>
    <m/>
    <n v="51.18"/>
    <m/>
    <m/>
    <n v="51.18"/>
  </r>
  <r>
    <x v="52"/>
    <s v="IDN"/>
    <x v="3"/>
    <s v="FX.OWN.TOTL.40.ZS"/>
    <m/>
    <m/>
    <n v="46.93"/>
    <m/>
    <m/>
    <n v="46.93"/>
  </r>
  <r>
    <x v="52"/>
    <s v="IDN"/>
    <x v="4"/>
    <s v="FX.OWN.TOTL.YG.ZS"/>
    <m/>
    <m/>
    <n v="54.64"/>
    <m/>
    <m/>
    <n v="54.64"/>
  </r>
  <r>
    <x v="52"/>
    <s v="IDN"/>
    <x v="5"/>
    <s v="FX.OWN.TOTL.PL.ZS"/>
    <m/>
    <m/>
    <n v="40.49"/>
    <m/>
    <m/>
    <n v="40.49"/>
  </r>
  <r>
    <x v="52"/>
    <s v="IDN"/>
    <x v="6"/>
    <s v="SL.TLF.0714.WK.TM"/>
    <m/>
    <m/>
    <m/>
    <m/>
    <m/>
    <n v="0"/>
  </r>
  <r>
    <x v="52"/>
    <s v="IDN"/>
    <x v="7"/>
    <s v="IC.FRM.BRIB.ZS"/>
    <m/>
    <m/>
    <m/>
    <m/>
    <n v="20.3"/>
    <n v="20.3"/>
  </r>
  <r>
    <x v="52"/>
    <s v="IDN"/>
    <x v="8"/>
    <s v="IC.BUS.DISC.XQ"/>
    <n v="10"/>
    <m/>
    <m/>
    <m/>
    <m/>
    <n v="10"/>
  </r>
  <r>
    <x v="52"/>
    <s v="IDN"/>
    <x v="9"/>
    <s v="GC.DOD.TOTL.GD.ZS"/>
    <n v="33.729155622638103"/>
    <n v="42.901796648612603"/>
    <n v="44.403817071939997"/>
    <n v="45.336556933899601"/>
    <m/>
    <n v="45.336556933899601"/>
  </r>
  <r>
    <x v="52"/>
    <s v="IDN"/>
    <x v="10"/>
    <s v="SE.COM.DURS"/>
    <n v="9"/>
    <n v="9"/>
    <n v="9"/>
    <n v="9"/>
    <n v="9"/>
    <n v="9"/>
  </r>
  <r>
    <x v="52"/>
    <s v="IDN"/>
    <x v="11"/>
    <s v="CC.PER.RNK"/>
    <n v="35.238094329833999"/>
    <n v="36.666667938232401"/>
    <n v="36.666667938232401"/>
    <n v="37.264152526855497"/>
    <n v="36.320755004882798"/>
    <n v="37.264152526855497"/>
  </r>
  <r>
    <x v="52"/>
    <s v="IDN"/>
    <x v="12"/>
    <s v="per_sa_allsa.cov_pop_tot"/>
    <n v="27.9760638160861"/>
    <n v="26.6600718179868"/>
    <n v="43.8656004035671"/>
    <m/>
    <m/>
    <n v="43.8656004035671"/>
  </r>
  <r>
    <x v="52"/>
    <s v="IDN"/>
    <x v="13"/>
    <s v="per_si_allsi.cov_q1_tot"/>
    <n v="3.7915775874113198"/>
    <n v="3.5357605071204099"/>
    <n v="2.5617496841291101"/>
    <m/>
    <m/>
    <n v="3.7915775874113198"/>
  </r>
  <r>
    <x v="52"/>
    <s v="IDN"/>
    <x v="14"/>
    <s v="SP.DYN.TO65.FE.ZS"/>
    <n v="77.107534000000001"/>
    <n v="74.566083000000006"/>
    <n v="71.148763000000002"/>
    <n v="78.013812000000001"/>
    <m/>
    <n v="78.013812000000001"/>
  </r>
  <r>
    <x v="52"/>
    <s v="IDN"/>
    <x v="15"/>
    <s v="SP.POP.TECH.RD.P6"/>
    <m/>
    <m/>
    <m/>
    <m/>
    <m/>
    <n v="0"/>
  </r>
  <r>
    <x v="52"/>
    <s v="IDN"/>
    <x v="16"/>
    <s v="IC.REG.DURS"/>
    <n v="12.6"/>
    <m/>
    <m/>
    <m/>
    <m/>
    <n v="12.6"/>
  </r>
  <r>
    <x v="53"/>
    <s v="IRQ"/>
    <x v="0"/>
    <s v="FX.OWN.TOTL.ZS"/>
    <m/>
    <m/>
    <n v="18.57"/>
    <m/>
    <m/>
    <n v="18.57"/>
  </r>
  <r>
    <x v="53"/>
    <s v="IRQ"/>
    <x v="1"/>
    <s v="FX.OWN.TOTL.FE.ZS"/>
    <m/>
    <m/>
    <n v="14.89"/>
    <m/>
    <m/>
    <n v="14.89"/>
  </r>
  <r>
    <x v="53"/>
    <s v="IRQ"/>
    <x v="2"/>
    <s v="FX.OWN.TOTL.MA.ZS"/>
    <m/>
    <m/>
    <n v="22.21"/>
    <m/>
    <m/>
    <n v="22.21"/>
  </r>
  <r>
    <x v="53"/>
    <s v="IRQ"/>
    <x v="3"/>
    <s v="FX.OWN.TOTL.40.ZS"/>
    <m/>
    <m/>
    <n v="14.43"/>
    <m/>
    <m/>
    <n v="14.43"/>
  </r>
  <r>
    <x v="53"/>
    <s v="IRQ"/>
    <x v="4"/>
    <s v="FX.OWN.TOTL.YG.ZS"/>
    <m/>
    <m/>
    <n v="12.49"/>
    <m/>
    <m/>
    <n v="12.49"/>
  </r>
  <r>
    <x v="53"/>
    <s v="IRQ"/>
    <x v="5"/>
    <s v="FX.OWN.TOTL.PL.ZS"/>
    <m/>
    <m/>
    <n v="15.48"/>
    <m/>
    <m/>
    <n v="15.48"/>
  </r>
  <r>
    <x v="53"/>
    <s v="IRQ"/>
    <x v="6"/>
    <s v="SL.TLF.0714.WK.TM"/>
    <m/>
    <m/>
    <m/>
    <m/>
    <m/>
    <n v="0"/>
  </r>
  <r>
    <x v="53"/>
    <s v="IRQ"/>
    <x v="7"/>
    <s v="IC.FRM.BRIB.ZS"/>
    <m/>
    <m/>
    <m/>
    <n v="50.5"/>
    <m/>
    <n v="50.5"/>
  </r>
  <r>
    <x v="53"/>
    <s v="IRQ"/>
    <x v="8"/>
    <s v="IC.BUS.DISC.XQ"/>
    <n v="4"/>
    <m/>
    <m/>
    <m/>
    <m/>
    <n v="4"/>
  </r>
  <r>
    <x v="53"/>
    <s v="IRQ"/>
    <x v="9"/>
    <s v="GC.DOD.TOTL.GD.ZS"/>
    <m/>
    <m/>
    <m/>
    <m/>
    <m/>
    <n v="0"/>
  </r>
  <r>
    <x v="53"/>
    <s v="IRQ"/>
    <x v="10"/>
    <s v="SE.COM.DURS"/>
    <n v="6"/>
    <n v="6"/>
    <n v="6"/>
    <n v="6"/>
    <n v="6"/>
    <n v="6"/>
  </r>
  <r>
    <x v="53"/>
    <s v="IRQ"/>
    <x v="11"/>
    <s v="CC.PER.RNK"/>
    <n v="8.0952377319335902"/>
    <n v="9.0476188659668004"/>
    <n v="9.0476188659668004"/>
    <n v="10.8490562438965"/>
    <n v="8.4905662536621094"/>
    <n v="10.8490562438965"/>
  </r>
  <r>
    <x v="53"/>
    <s v="IRQ"/>
    <x v="12"/>
    <s v="per_sa_allsa.cov_pop_tot"/>
    <m/>
    <m/>
    <m/>
    <m/>
    <m/>
    <n v="0"/>
  </r>
  <r>
    <x v="53"/>
    <s v="IRQ"/>
    <x v="13"/>
    <s v="per_si_allsi.cov_q1_tot"/>
    <m/>
    <m/>
    <m/>
    <m/>
    <m/>
    <n v="0"/>
  </r>
  <r>
    <x v="53"/>
    <s v="IRQ"/>
    <x v="14"/>
    <s v="SP.DYN.TO65.FE.ZS"/>
    <n v="79.685644999999994"/>
    <n v="78.505532000000002"/>
    <n v="78.313997999999998"/>
    <n v="81.023533999999998"/>
    <m/>
    <n v="81.023533999999998"/>
  </r>
  <r>
    <x v="53"/>
    <s v="IRQ"/>
    <x v="15"/>
    <s v="SP.POP.TECH.RD.P6"/>
    <m/>
    <m/>
    <m/>
    <m/>
    <m/>
    <n v="0"/>
  </r>
  <r>
    <x v="53"/>
    <s v="IRQ"/>
    <x v="16"/>
    <s v="IC.REG.DURS"/>
    <n v="26.5"/>
    <m/>
    <m/>
    <m/>
    <m/>
    <n v="26.5"/>
  </r>
  <r>
    <x v="54"/>
    <s v="IRL"/>
    <x v="0"/>
    <s v="FX.OWN.TOTL.ZS"/>
    <m/>
    <m/>
    <n v="99.66"/>
    <m/>
    <m/>
    <n v="99.66"/>
  </r>
  <r>
    <x v="54"/>
    <s v="IRL"/>
    <x v="1"/>
    <s v="FX.OWN.TOTL.FE.ZS"/>
    <m/>
    <m/>
    <n v="99.53"/>
    <m/>
    <m/>
    <n v="99.53"/>
  </r>
  <r>
    <x v="54"/>
    <s v="IRL"/>
    <x v="2"/>
    <s v="FX.OWN.TOTL.MA.ZS"/>
    <m/>
    <m/>
    <n v="99.8"/>
    <m/>
    <m/>
    <n v="99.8"/>
  </r>
  <r>
    <x v="54"/>
    <s v="IRL"/>
    <x v="3"/>
    <s v="FX.OWN.TOTL.40.ZS"/>
    <m/>
    <m/>
    <n v="99.29"/>
    <m/>
    <m/>
    <n v="99.29"/>
  </r>
  <r>
    <x v="54"/>
    <s v="IRL"/>
    <x v="4"/>
    <s v="FX.OWN.TOTL.YG.ZS"/>
    <m/>
    <m/>
    <n v="100"/>
    <m/>
    <m/>
    <n v="100"/>
  </r>
  <r>
    <x v="54"/>
    <s v="IRL"/>
    <x v="5"/>
    <s v="FX.OWN.TOTL.PL.ZS"/>
    <m/>
    <m/>
    <n v="100"/>
    <m/>
    <m/>
    <n v="100"/>
  </r>
  <r>
    <x v="54"/>
    <s v="IRL"/>
    <x v="6"/>
    <s v="SL.TLF.0714.WK.TM"/>
    <m/>
    <m/>
    <m/>
    <m/>
    <m/>
    <n v="0"/>
  </r>
  <r>
    <x v="54"/>
    <s v="IRL"/>
    <x v="7"/>
    <s v="IC.FRM.BRIB.ZS"/>
    <m/>
    <n v="0.4"/>
    <m/>
    <m/>
    <m/>
    <n v="0.4"/>
  </r>
  <r>
    <x v="54"/>
    <s v="IRL"/>
    <x v="8"/>
    <s v="IC.BUS.DISC.XQ"/>
    <n v="9"/>
    <m/>
    <m/>
    <m/>
    <m/>
    <n v="9"/>
  </r>
  <r>
    <x v="54"/>
    <s v="IRL"/>
    <x v="9"/>
    <s v="GC.DOD.TOTL.GD.ZS"/>
    <n v="68.210153188476895"/>
    <n v="70.004779005324195"/>
    <n v="62.166568548434498"/>
    <n v="45.400258888175998"/>
    <m/>
    <n v="70.004779005324195"/>
  </r>
  <r>
    <x v="54"/>
    <s v="IRL"/>
    <x v="10"/>
    <s v="SE.COM.DURS"/>
    <n v="10"/>
    <n v="10"/>
    <n v="10"/>
    <n v="10"/>
    <n v="10"/>
    <n v="10"/>
  </r>
  <r>
    <x v="54"/>
    <s v="IRL"/>
    <x v="11"/>
    <s v="CC.PER.RNK"/>
    <n v="90"/>
    <n v="91.428573608398395"/>
    <n v="92.857139587402301"/>
    <n v="93.867927551269503"/>
    <n v="92.924530029296903"/>
    <n v="93.867927551269503"/>
  </r>
  <r>
    <x v="54"/>
    <s v="IRL"/>
    <x v="12"/>
    <s v="per_sa_allsa.cov_pop_tot"/>
    <m/>
    <m/>
    <m/>
    <m/>
    <m/>
    <n v="0"/>
  </r>
  <r>
    <x v="54"/>
    <s v="IRL"/>
    <x v="13"/>
    <s v="per_si_allsi.cov_q1_tot"/>
    <m/>
    <m/>
    <m/>
    <m/>
    <m/>
    <n v="0"/>
  </r>
  <r>
    <x v="54"/>
    <s v="IRL"/>
    <x v="14"/>
    <s v="SP.DYN.TO65.FE.ZS"/>
    <n v="93.042660999999995"/>
    <n v="92.956638999999996"/>
    <n v="92.668083999999993"/>
    <n v="92.998221999999998"/>
    <m/>
    <n v="93.042660999999995"/>
  </r>
  <r>
    <x v="54"/>
    <s v="IRL"/>
    <x v="15"/>
    <s v="SP.POP.TECH.RD.P6"/>
    <m/>
    <m/>
    <m/>
    <m/>
    <m/>
    <n v="0"/>
  </r>
  <r>
    <x v="54"/>
    <s v="IRL"/>
    <x v="16"/>
    <s v="IC.REG.DURS"/>
    <n v="11"/>
    <m/>
    <m/>
    <m/>
    <m/>
    <n v="11"/>
  </r>
  <r>
    <x v="55"/>
    <s v="ISR"/>
    <x v="0"/>
    <s v="FX.OWN.TOTL.ZS"/>
    <m/>
    <m/>
    <n v="92.93"/>
    <m/>
    <m/>
    <n v="92.93"/>
  </r>
  <r>
    <x v="55"/>
    <s v="ISR"/>
    <x v="1"/>
    <s v="FX.OWN.TOTL.FE.ZS"/>
    <m/>
    <m/>
    <n v="91.93"/>
    <m/>
    <m/>
    <n v="91.93"/>
  </r>
  <r>
    <x v="55"/>
    <s v="ISR"/>
    <x v="2"/>
    <s v="FX.OWN.TOTL.MA.ZS"/>
    <m/>
    <m/>
    <n v="93.97"/>
    <m/>
    <m/>
    <n v="93.97"/>
  </r>
  <r>
    <x v="55"/>
    <s v="ISR"/>
    <x v="3"/>
    <s v="FX.OWN.TOTL.40.ZS"/>
    <m/>
    <m/>
    <n v="89.02"/>
    <m/>
    <m/>
    <n v="89.02"/>
  </r>
  <r>
    <x v="55"/>
    <s v="ISR"/>
    <x v="4"/>
    <s v="FX.OWN.TOTL.YG.ZS"/>
    <m/>
    <m/>
    <n v="71.05"/>
    <m/>
    <m/>
    <n v="71.05"/>
  </r>
  <r>
    <x v="55"/>
    <s v="ISR"/>
    <x v="5"/>
    <s v="FX.OWN.TOTL.PL.ZS"/>
    <m/>
    <m/>
    <n v="62.76"/>
    <m/>
    <m/>
    <n v="62.76"/>
  </r>
  <r>
    <x v="55"/>
    <s v="ISR"/>
    <x v="6"/>
    <s v="SL.TLF.0714.WK.TM"/>
    <m/>
    <m/>
    <m/>
    <m/>
    <m/>
    <n v="0"/>
  </r>
  <r>
    <x v="55"/>
    <s v="ISR"/>
    <x v="7"/>
    <s v="IC.FRM.BRIB.ZS"/>
    <m/>
    <m/>
    <m/>
    <m/>
    <m/>
    <n v="0"/>
  </r>
  <r>
    <x v="55"/>
    <s v="ISR"/>
    <x v="8"/>
    <s v="IC.BUS.DISC.XQ"/>
    <n v="7"/>
    <m/>
    <m/>
    <m/>
    <m/>
    <n v="7"/>
  </r>
  <r>
    <x v="55"/>
    <s v="ISR"/>
    <x v="9"/>
    <s v="GC.DOD.TOTL.GD.ZS"/>
    <m/>
    <m/>
    <m/>
    <m/>
    <m/>
    <n v="0"/>
  </r>
  <r>
    <x v="55"/>
    <s v="ISR"/>
    <x v="10"/>
    <s v="SE.COM.DURS"/>
    <n v="15"/>
    <n v="15"/>
    <n v="15"/>
    <n v="15"/>
    <n v="15"/>
    <n v="15"/>
  </r>
  <r>
    <x v="55"/>
    <s v="ISR"/>
    <x v="11"/>
    <s v="CC.PER.RNK"/>
    <n v="78.095237731933594"/>
    <n v="68.095237731933594"/>
    <n v="80"/>
    <n v="78.773582458496094"/>
    <n v="78.773582458496094"/>
    <n v="80"/>
  </r>
  <r>
    <x v="55"/>
    <s v="ISR"/>
    <x v="12"/>
    <s v="per_sa_allsa.cov_pop_tot"/>
    <m/>
    <m/>
    <m/>
    <m/>
    <m/>
    <n v="0"/>
  </r>
  <r>
    <x v="55"/>
    <s v="ISR"/>
    <x v="13"/>
    <s v="per_si_allsi.cov_q1_tot"/>
    <m/>
    <m/>
    <m/>
    <m/>
    <m/>
    <n v="0"/>
  </r>
  <r>
    <x v="55"/>
    <s v="ISR"/>
    <x v="14"/>
    <s v="SP.DYN.TO65.FE.ZS"/>
    <n v="93.639072999999996"/>
    <n v="93.725131000000005"/>
    <n v="93.682823999999997"/>
    <n v="93.913788999999994"/>
    <m/>
    <n v="93.913788999999994"/>
  </r>
  <r>
    <x v="55"/>
    <s v="ISR"/>
    <x v="15"/>
    <s v="SP.POP.TECH.RD.P6"/>
    <m/>
    <m/>
    <m/>
    <m/>
    <m/>
    <n v="0"/>
  </r>
  <r>
    <x v="55"/>
    <s v="ISR"/>
    <x v="16"/>
    <s v="IC.REG.DURS"/>
    <n v="11"/>
    <m/>
    <m/>
    <m/>
    <m/>
    <n v="11"/>
  </r>
  <r>
    <x v="56"/>
    <s v="ITA"/>
    <x v="0"/>
    <s v="FX.OWN.TOTL.ZS"/>
    <m/>
    <m/>
    <n v="97.29"/>
    <m/>
    <m/>
    <n v="97.29"/>
  </r>
  <r>
    <x v="56"/>
    <s v="ITA"/>
    <x v="1"/>
    <s v="FX.OWN.TOTL.FE.ZS"/>
    <m/>
    <m/>
    <n v="97.09"/>
    <m/>
    <m/>
    <n v="97.09"/>
  </r>
  <r>
    <x v="56"/>
    <s v="ITA"/>
    <x v="2"/>
    <s v="FX.OWN.TOTL.MA.ZS"/>
    <m/>
    <m/>
    <n v="97.48"/>
    <m/>
    <m/>
    <n v="97.48"/>
  </r>
  <r>
    <x v="56"/>
    <s v="ITA"/>
    <x v="3"/>
    <s v="FX.OWN.TOTL.40.ZS"/>
    <m/>
    <m/>
    <n v="94.79"/>
    <m/>
    <m/>
    <n v="94.79"/>
  </r>
  <r>
    <x v="56"/>
    <s v="ITA"/>
    <x v="4"/>
    <s v="FX.OWN.TOTL.YG.ZS"/>
    <m/>
    <m/>
    <n v="82.77"/>
    <m/>
    <m/>
    <n v="82.77"/>
  </r>
  <r>
    <x v="56"/>
    <s v="ITA"/>
    <x v="5"/>
    <s v="FX.OWN.TOTL.PL.ZS"/>
    <m/>
    <m/>
    <n v="97.25"/>
    <m/>
    <m/>
    <n v="97.25"/>
  </r>
  <r>
    <x v="56"/>
    <s v="ITA"/>
    <x v="6"/>
    <s v="SL.TLF.0714.WK.TM"/>
    <m/>
    <m/>
    <m/>
    <m/>
    <m/>
    <n v="0"/>
  </r>
  <r>
    <x v="56"/>
    <s v="ITA"/>
    <x v="7"/>
    <s v="IC.FRM.BRIB.ZS"/>
    <n v="11.8"/>
    <m/>
    <m/>
    <m/>
    <m/>
    <n v="11.8"/>
  </r>
  <r>
    <x v="56"/>
    <s v="ITA"/>
    <x v="8"/>
    <s v="IC.BUS.DISC.XQ"/>
    <n v="7"/>
    <m/>
    <m/>
    <m/>
    <m/>
    <n v="7"/>
  </r>
  <r>
    <x v="56"/>
    <s v="ITA"/>
    <x v="9"/>
    <s v="GC.DOD.TOTL.GD.ZS"/>
    <m/>
    <m/>
    <m/>
    <m/>
    <m/>
    <n v="0"/>
  </r>
  <r>
    <x v="56"/>
    <s v="ITA"/>
    <x v="10"/>
    <s v="SE.COM.DURS"/>
    <n v="12"/>
    <n v="12"/>
    <n v="12"/>
    <n v="12"/>
    <n v="12"/>
    <n v="12"/>
  </r>
  <r>
    <x v="56"/>
    <s v="ITA"/>
    <x v="11"/>
    <s v="CC.PER.RNK"/>
    <n v="61.4285697937012"/>
    <n v="67.142860412597699"/>
    <n v="67.619049072265597"/>
    <n v="68.867927551269503"/>
    <n v="67.924530029296903"/>
    <n v="68.867927551269503"/>
  </r>
  <r>
    <x v="56"/>
    <s v="ITA"/>
    <x v="12"/>
    <s v="per_sa_allsa.cov_pop_tot"/>
    <m/>
    <m/>
    <m/>
    <m/>
    <m/>
    <n v="0"/>
  </r>
  <r>
    <x v="56"/>
    <s v="ITA"/>
    <x v="13"/>
    <s v="per_si_allsi.cov_q1_tot"/>
    <m/>
    <m/>
    <m/>
    <m/>
    <m/>
    <n v="0"/>
  </r>
  <r>
    <x v="56"/>
    <s v="ITA"/>
    <x v="14"/>
    <s v="SP.DYN.TO65.FE.ZS"/>
    <n v="94.055218999999994"/>
    <n v="93.698479000000006"/>
    <n v="93.700334999999995"/>
    <n v="93.195625000000007"/>
    <m/>
    <n v="94.055218999999994"/>
  </r>
  <r>
    <x v="56"/>
    <s v="ITA"/>
    <x v="15"/>
    <s v="SP.POP.TECH.RD.P6"/>
    <m/>
    <m/>
    <m/>
    <m/>
    <m/>
    <n v="0"/>
  </r>
  <r>
    <x v="56"/>
    <s v="ITA"/>
    <x v="16"/>
    <s v="IC.REG.DURS"/>
    <n v="11"/>
    <m/>
    <m/>
    <m/>
    <m/>
    <n v="11"/>
  </r>
  <r>
    <x v="57"/>
    <s v="JAM"/>
    <x v="0"/>
    <s v="FX.OWN.TOTL.ZS"/>
    <m/>
    <m/>
    <n v="73.3"/>
    <m/>
    <m/>
    <n v="73.3"/>
  </r>
  <r>
    <x v="57"/>
    <s v="JAM"/>
    <x v="1"/>
    <s v="FX.OWN.TOTL.FE.ZS"/>
    <m/>
    <m/>
    <n v="71.55"/>
    <m/>
    <m/>
    <n v="71.55"/>
  </r>
  <r>
    <x v="57"/>
    <s v="JAM"/>
    <x v="2"/>
    <s v="FX.OWN.TOTL.MA.ZS"/>
    <m/>
    <m/>
    <n v="75.11"/>
    <m/>
    <m/>
    <n v="75.11"/>
  </r>
  <r>
    <x v="57"/>
    <s v="JAM"/>
    <x v="3"/>
    <s v="FX.OWN.TOTL.40.ZS"/>
    <m/>
    <m/>
    <n v="67.69"/>
    <m/>
    <m/>
    <n v="67.69"/>
  </r>
  <r>
    <x v="57"/>
    <s v="JAM"/>
    <x v="4"/>
    <s v="FX.OWN.TOTL.YG.ZS"/>
    <m/>
    <m/>
    <n v="75.36"/>
    <m/>
    <m/>
    <n v="75.36"/>
  </r>
  <r>
    <x v="57"/>
    <s v="JAM"/>
    <x v="5"/>
    <s v="FX.OWN.TOTL.PL.ZS"/>
    <m/>
    <m/>
    <n v="59.94"/>
    <m/>
    <m/>
    <n v="59.94"/>
  </r>
  <r>
    <x v="57"/>
    <s v="JAM"/>
    <x v="6"/>
    <s v="SL.TLF.0714.WK.TM"/>
    <m/>
    <m/>
    <m/>
    <m/>
    <m/>
    <n v="0"/>
  </r>
  <r>
    <x v="57"/>
    <s v="JAM"/>
    <x v="7"/>
    <s v="IC.FRM.BRIB.ZS"/>
    <m/>
    <m/>
    <m/>
    <m/>
    <m/>
    <n v="0"/>
  </r>
  <r>
    <x v="57"/>
    <s v="JAM"/>
    <x v="8"/>
    <s v="IC.BUS.DISC.XQ"/>
    <n v="4"/>
    <m/>
    <m/>
    <m/>
    <m/>
    <n v="4"/>
  </r>
  <r>
    <x v="57"/>
    <s v="JAM"/>
    <x v="9"/>
    <s v="GC.DOD.TOTL.GD.ZS"/>
    <n v="92.246448453146797"/>
    <n v="106.282373001667"/>
    <m/>
    <m/>
    <m/>
    <n v="106.282373001667"/>
  </r>
  <r>
    <x v="57"/>
    <s v="JAM"/>
    <x v="10"/>
    <s v="SE.COM.DURS"/>
    <n v="6"/>
    <n v="6"/>
    <n v="6"/>
    <n v="6"/>
    <n v="6"/>
    <n v="6"/>
  </r>
  <r>
    <x v="57"/>
    <s v="JAM"/>
    <x v="11"/>
    <s v="CC.PER.RNK"/>
    <n v="51.904762268066399"/>
    <n v="53.809524536132798"/>
    <n v="52.380950927734403"/>
    <n v="53.773586273193402"/>
    <n v="50.943397521972699"/>
    <n v="53.809524536132798"/>
  </r>
  <r>
    <x v="57"/>
    <s v="JAM"/>
    <x v="12"/>
    <s v="per_sa_allsa.cov_pop_tot"/>
    <m/>
    <m/>
    <m/>
    <m/>
    <m/>
    <n v="0"/>
  </r>
  <r>
    <x v="57"/>
    <s v="JAM"/>
    <x v="13"/>
    <s v="per_si_allsi.cov_q1_tot"/>
    <m/>
    <m/>
    <m/>
    <m/>
    <m/>
    <n v="0"/>
  </r>
  <r>
    <x v="57"/>
    <s v="JAM"/>
    <x v="14"/>
    <s v="SP.DYN.TO65.FE.ZS"/>
    <n v="79.896803000000006"/>
    <n v="79.916115000000005"/>
    <n v="75.038287999999994"/>
    <n v="79.884598999999994"/>
    <m/>
    <n v="79.916115000000005"/>
  </r>
  <r>
    <x v="57"/>
    <s v="JAM"/>
    <x v="15"/>
    <s v="SP.POP.TECH.RD.P6"/>
    <m/>
    <m/>
    <m/>
    <m/>
    <m/>
    <n v="0"/>
  </r>
  <r>
    <x v="57"/>
    <s v="JAM"/>
    <x v="16"/>
    <s v="IC.REG.DURS"/>
    <n v="3"/>
    <m/>
    <m/>
    <m/>
    <m/>
    <n v="3"/>
  </r>
  <r>
    <x v="58"/>
    <s v="JPN"/>
    <x v="0"/>
    <s v="FX.OWN.TOTL.ZS"/>
    <m/>
    <m/>
    <n v="98.49"/>
    <m/>
    <m/>
    <n v="98.49"/>
  </r>
  <r>
    <x v="58"/>
    <s v="JPN"/>
    <x v="1"/>
    <s v="FX.OWN.TOTL.FE.ZS"/>
    <m/>
    <m/>
    <n v="98.84"/>
    <m/>
    <m/>
    <n v="98.84"/>
  </r>
  <r>
    <x v="58"/>
    <s v="JPN"/>
    <x v="2"/>
    <s v="FX.OWN.TOTL.MA.ZS"/>
    <m/>
    <m/>
    <n v="98.12"/>
    <m/>
    <m/>
    <n v="98.12"/>
  </r>
  <r>
    <x v="58"/>
    <s v="JPN"/>
    <x v="3"/>
    <s v="FX.OWN.TOTL.40.ZS"/>
    <m/>
    <m/>
    <n v="98.47"/>
    <m/>
    <m/>
    <n v="98.47"/>
  </r>
  <r>
    <x v="58"/>
    <s v="JPN"/>
    <x v="4"/>
    <s v="FX.OWN.TOTL.YG.ZS"/>
    <m/>
    <m/>
    <n v="90.23"/>
    <m/>
    <m/>
    <n v="90.23"/>
  </r>
  <r>
    <x v="58"/>
    <s v="JPN"/>
    <x v="5"/>
    <s v="FX.OWN.TOTL.PL.ZS"/>
    <m/>
    <m/>
    <n v="94.1"/>
    <m/>
    <m/>
    <n v="94.1"/>
  </r>
  <r>
    <x v="58"/>
    <s v="JPN"/>
    <x v="6"/>
    <s v="SL.TLF.0714.WK.TM"/>
    <m/>
    <m/>
    <m/>
    <m/>
    <m/>
    <n v="0"/>
  </r>
  <r>
    <x v="58"/>
    <s v="JPN"/>
    <x v="7"/>
    <s v="IC.FRM.BRIB.ZS"/>
    <m/>
    <m/>
    <m/>
    <m/>
    <m/>
    <n v="0"/>
  </r>
  <r>
    <x v="58"/>
    <s v="JPN"/>
    <x v="8"/>
    <s v="IC.BUS.DISC.XQ"/>
    <n v="7"/>
    <m/>
    <m/>
    <m/>
    <m/>
    <n v="7"/>
  </r>
  <r>
    <x v="58"/>
    <s v="JPN"/>
    <x v="9"/>
    <s v="GC.DOD.TOTL.GD.ZS"/>
    <n v="198.01030917487199"/>
    <n v="215.75554057904299"/>
    <n v="216.32936485674099"/>
    <n v="216.21337545990301"/>
    <m/>
    <n v="216.32936485674099"/>
  </r>
  <r>
    <x v="58"/>
    <s v="JPN"/>
    <x v="10"/>
    <s v="SE.COM.DURS"/>
    <n v="9"/>
    <n v="9"/>
    <n v="9"/>
    <n v="9"/>
    <n v="9"/>
    <n v="9"/>
  </r>
  <r>
    <x v="58"/>
    <s v="JPN"/>
    <x v="11"/>
    <s v="CC.PER.RNK"/>
    <n v="89.047622680664105"/>
    <n v="90.476188659667997"/>
    <n v="90.952377319335895"/>
    <n v="90.5660400390625"/>
    <n v="90.094337463378906"/>
    <n v="90.952377319335895"/>
  </r>
  <r>
    <x v="58"/>
    <s v="JPN"/>
    <x v="12"/>
    <s v="per_sa_allsa.cov_pop_tot"/>
    <m/>
    <m/>
    <m/>
    <m/>
    <m/>
    <n v="0"/>
  </r>
  <r>
    <x v="58"/>
    <s v="JPN"/>
    <x v="13"/>
    <s v="per_si_allsi.cov_q1_tot"/>
    <m/>
    <m/>
    <m/>
    <m/>
    <m/>
    <n v="0"/>
  </r>
  <r>
    <x v="58"/>
    <s v="JPN"/>
    <x v="14"/>
    <s v="SP.DYN.TO65.FE.ZS"/>
    <n v="94.508640999999997"/>
    <n v="94.569141000000002"/>
    <n v="94.567238000000003"/>
    <n v="94.356001000000006"/>
    <m/>
    <n v="94.569141000000002"/>
  </r>
  <r>
    <x v="58"/>
    <s v="JPN"/>
    <x v="15"/>
    <s v="SP.POP.TECH.RD.P6"/>
    <m/>
    <m/>
    <m/>
    <m/>
    <m/>
    <n v="0"/>
  </r>
  <r>
    <x v="58"/>
    <s v="JPN"/>
    <x v="16"/>
    <s v="IC.REG.DURS"/>
    <n v="11.2"/>
    <m/>
    <m/>
    <m/>
    <m/>
    <n v="11.2"/>
  </r>
  <r>
    <x v="59"/>
    <s v="JOR"/>
    <x v="0"/>
    <s v="FX.OWN.TOTL.ZS"/>
    <m/>
    <m/>
    <n v="47.12"/>
    <m/>
    <m/>
    <n v="47.12"/>
  </r>
  <r>
    <x v="59"/>
    <s v="JOR"/>
    <x v="1"/>
    <s v="FX.OWN.TOTL.FE.ZS"/>
    <m/>
    <m/>
    <n v="34.06"/>
    <m/>
    <m/>
    <n v="34.06"/>
  </r>
  <r>
    <x v="59"/>
    <s v="JOR"/>
    <x v="2"/>
    <s v="FX.OWN.TOTL.MA.ZS"/>
    <m/>
    <m/>
    <n v="58.6"/>
    <m/>
    <m/>
    <n v="58.6"/>
  </r>
  <r>
    <x v="59"/>
    <s v="JOR"/>
    <x v="3"/>
    <s v="FX.OWN.TOTL.40.ZS"/>
    <m/>
    <m/>
    <n v="37.01"/>
    <m/>
    <m/>
    <n v="37.01"/>
  </r>
  <r>
    <x v="59"/>
    <s v="JOR"/>
    <x v="4"/>
    <s v="FX.OWN.TOTL.YG.ZS"/>
    <m/>
    <m/>
    <n v="28.69"/>
    <m/>
    <m/>
    <n v="28.69"/>
  </r>
  <r>
    <x v="59"/>
    <s v="JOR"/>
    <x v="5"/>
    <s v="FX.OWN.TOTL.PL.ZS"/>
    <m/>
    <m/>
    <n v="38.71"/>
    <m/>
    <m/>
    <n v="38.71"/>
  </r>
  <r>
    <x v="59"/>
    <s v="JOR"/>
    <x v="6"/>
    <s v="SL.TLF.0714.WK.TM"/>
    <m/>
    <m/>
    <m/>
    <m/>
    <m/>
    <n v="0"/>
  </r>
  <r>
    <x v="59"/>
    <s v="JOR"/>
    <x v="7"/>
    <s v="IC.FRM.BRIB.ZS"/>
    <n v="2.5"/>
    <m/>
    <m/>
    <m/>
    <m/>
    <n v="2.5"/>
  </r>
  <r>
    <x v="59"/>
    <s v="JOR"/>
    <x v="8"/>
    <s v="IC.BUS.DISC.XQ"/>
    <n v="4"/>
    <m/>
    <m/>
    <m/>
    <m/>
    <n v="4"/>
  </r>
  <r>
    <x v="59"/>
    <s v="JOR"/>
    <x v="9"/>
    <s v="GC.DOD.TOTL.GD.ZS"/>
    <n v="79.344853249271694"/>
    <n v="75.966072685990596"/>
    <m/>
    <n v="100.908283146258"/>
    <m/>
    <n v="100.908283146258"/>
  </r>
  <r>
    <x v="59"/>
    <s v="JOR"/>
    <x v="10"/>
    <s v="SE.COM.DURS"/>
    <n v="10"/>
    <n v="10"/>
    <n v="10"/>
    <n v="10"/>
    <n v="10"/>
    <n v="10"/>
  </r>
  <r>
    <x v="59"/>
    <s v="JOR"/>
    <x v="11"/>
    <s v="CC.PER.RNK"/>
    <n v="58.5714302062988"/>
    <n v="57.619049072265597"/>
    <n v="55.714286804199197"/>
    <n v="58.018867492675803"/>
    <n v="57.547168731689503"/>
    <n v="58.5714302062988"/>
  </r>
  <r>
    <x v="59"/>
    <s v="JOR"/>
    <x v="12"/>
    <s v="per_sa_allsa.cov_pop_tot"/>
    <m/>
    <m/>
    <m/>
    <m/>
    <m/>
    <n v="0"/>
  </r>
  <r>
    <x v="59"/>
    <s v="JOR"/>
    <x v="13"/>
    <s v="per_si_allsi.cov_q1_tot"/>
    <m/>
    <m/>
    <m/>
    <m/>
    <m/>
    <n v="0"/>
  </r>
  <r>
    <x v="59"/>
    <s v="JOR"/>
    <x v="14"/>
    <s v="SP.DYN.TO65.FE.ZS"/>
    <n v="88.895972999999998"/>
    <n v="87.798693999999998"/>
    <n v="85.464945999999998"/>
    <n v="89.132171999999997"/>
    <m/>
    <n v="89.132171999999997"/>
  </r>
  <r>
    <x v="59"/>
    <s v="JOR"/>
    <x v="15"/>
    <s v="SP.POP.TECH.RD.P6"/>
    <m/>
    <m/>
    <m/>
    <m/>
    <m/>
    <n v="0"/>
  </r>
  <r>
    <x v="59"/>
    <s v="JOR"/>
    <x v="16"/>
    <s v="IC.REG.DURS"/>
    <n v="12.5"/>
    <m/>
    <m/>
    <m/>
    <m/>
    <n v="12.5"/>
  </r>
  <r>
    <x v="60"/>
    <s v="KAZ"/>
    <x v="0"/>
    <s v="FX.OWN.TOTL.ZS"/>
    <m/>
    <m/>
    <n v="81.11"/>
    <m/>
    <m/>
    <n v="81.11"/>
  </r>
  <r>
    <x v="60"/>
    <s v="KAZ"/>
    <x v="1"/>
    <s v="FX.OWN.TOTL.FE.ZS"/>
    <m/>
    <m/>
    <n v="83.63"/>
    <m/>
    <m/>
    <n v="83.63"/>
  </r>
  <r>
    <x v="60"/>
    <s v="KAZ"/>
    <x v="2"/>
    <s v="FX.OWN.TOTL.MA.ZS"/>
    <m/>
    <m/>
    <n v="78.290000000000006"/>
    <m/>
    <m/>
    <n v="78.290000000000006"/>
  </r>
  <r>
    <x v="60"/>
    <s v="KAZ"/>
    <x v="3"/>
    <s v="FX.OWN.TOTL.40.ZS"/>
    <m/>
    <m/>
    <n v="82.08"/>
    <m/>
    <m/>
    <n v="82.08"/>
  </r>
  <r>
    <x v="60"/>
    <s v="KAZ"/>
    <x v="4"/>
    <s v="FX.OWN.TOTL.YG.ZS"/>
    <m/>
    <m/>
    <n v="73.55"/>
    <m/>
    <m/>
    <n v="73.55"/>
  </r>
  <r>
    <x v="60"/>
    <s v="KAZ"/>
    <x v="5"/>
    <s v="FX.OWN.TOTL.PL.ZS"/>
    <m/>
    <m/>
    <n v="61.88"/>
    <m/>
    <m/>
    <n v="61.88"/>
  </r>
  <r>
    <x v="60"/>
    <s v="KAZ"/>
    <x v="6"/>
    <s v="SL.TLF.0714.WK.TM"/>
    <m/>
    <m/>
    <m/>
    <m/>
    <m/>
    <n v="0"/>
  </r>
  <r>
    <x v="60"/>
    <s v="KAZ"/>
    <x v="7"/>
    <s v="IC.FRM.BRIB.ZS"/>
    <n v="11.6"/>
    <m/>
    <m/>
    <m/>
    <m/>
    <n v="11.6"/>
  </r>
  <r>
    <x v="60"/>
    <s v="KAZ"/>
    <x v="8"/>
    <s v="IC.BUS.DISC.XQ"/>
    <n v="9"/>
    <m/>
    <m/>
    <m/>
    <m/>
    <n v="9"/>
  </r>
  <r>
    <x v="60"/>
    <s v="KAZ"/>
    <x v="9"/>
    <s v="GC.DOD.TOTL.GD.ZS"/>
    <n v="18.483046947751902"/>
    <n v="23.715760502438101"/>
    <n v="22.4120405815457"/>
    <n v="21.354783010181102"/>
    <n v="20.822089567308801"/>
    <n v="23.715760502438101"/>
  </r>
  <r>
    <x v="60"/>
    <s v="KAZ"/>
    <x v="10"/>
    <s v="SE.COM.DURS"/>
    <n v="9"/>
    <n v="9"/>
    <n v="9"/>
    <n v="9"/>
    <n v="9"/>
    <n v="9"/>
  </r>
  <r>
    <x v="60"/>
    <s v="KAZ"/>
    <x v="11"/>
    <s v="CC.PER.RNK"/>
    <n v="45.238094329833999"/>
    <n v="40.952381134033203"/>
    <n v="47.142856597900398"/>
    <n v="48.584907531738303"/>
    <n v="47.169811248779297"/>
    <n v="48.584907531738303"/>
  </r>
  <r>
    <x v="60"/>
    <s v="KAZ"/>
    <x v="12"/>
    <s v="per_sa_allsa.cov_pop_tot"/>
    <m/>
    <m/>
    <m/>
    <m/>
    <m/>
    <n v="0"/>
  </r>
  <r>
    <x v="60"/>
    <s v="KAZ"/>
    <x v="13"/>
    <s v="per_si_allsi.cov_q1_tot"/>
    <m/>
    <m/>
    <m/>
    <m/>
    <m/>
    <n v="0"/>
  </r>
  <r>
    <x v="60"/>
    <s v="KAZ"/>
    <x v="14"/>
    <s v="SP.DYN.TO65.FE.ZS"/>
    <n v="85.488133000000005"/>
    <n v="82.171903999999998"/>
    <n v="81.146236999999999"/>
    <n v="84.872951999999998"/>
    <m/>
    <n v="85.488133000000005"/>
  </r>
  <r>
    <x v="60"/>
    <s v="KAZ"/>
    <x v="15"/>
    <s v="SP.POP.TECH.RD.P6"/>
    <m/>
    <m/>
    <m/>
    <m/>
    <m/>
    <n v="0"/>
  </r>
  <r>
    <x v="60"/>
    <s v="KAZ"/>
    <x v="16"/>
    <s v="IC.REG.DURS"/>
    <n v="5"/>
    <m/>
    <m/>
    <m/>
    <m/>
    <n v="5"/>
  </r>
  <r>
    <x v="61"/>
    <s v="KEN"/>
    <x v="0"/>
    <s v="FX.OWN.TOTL.ZS"/>
    <m/>
    <m/>
    <n v="79.2"/>
    <m/>
    <m/>
    <n v="79.2"/>
  </r>
  <r>
    <x v="61"/>
    <s v="KEN"/>
    <x v="1"/>
    <s v="FX.OWN.TOTL.FE.ZS"/>
    <m/>
    <m/>
    <n v="75.36"/>
    <m/>
    <m/>
    <n v="75.36"/>
  </r>
  <r>
    <x v="61"/>
    <s v="KEN"/>
    <x v="2"/>
    <s v="FX.OWN.TOTL.MA.ZS"/>
    <m/>
    <m/>
    <n v="83.24"/>
    <m/>
    <m/>
    <n v="83.24"/>
  </r>
  <r>
    <x v="61"/>
    <s v="KEN"/>
    <x v="3"/>
    <s v="FX.OWN.TOTL.40.ZS"/>
    <m/>
    <m/>
    <n v="67.45"/>
    <m/>
    <m/>
    <n v="67.45"/>
  </r>
  <r>
    <x v="61"/>
    <s v="KEN"/>
    <x v="4"/>
    <s v="FX.OWN.TOTL.YG.ZS"/>
    <m/>
    <m/>
    <n v="78.91"/>
    <m/>
    <m/>
    <n v="78.91"/>
  </r>
  <r>
    <x v="61"/>
    <s v="KEN"/>
    <x v="5"/>
    <s v="FX.OWN.TOTL.PL.ZS"/>
    <m/>
    <m/>
    <n v="61.02"/>
    <m/>
    <m/>
    <n v="61.02"/>
  </r>
  <r>
    <x v="61"/>
    <s v="KEN"/>
    <x v="6"/>
    <s v="SL.TLF.0714.WK.TM"/>
    <m/>
    <m/>
    <m/>
    <m/>
    <m/>
    <n v="0"/>
  </r>
  <r>
    <x v="61"/>
    <s v="KEN"/>
    <x v="7"/>
    <s v="IC.FRM.BRIB.ZS"/>
    <m/>
    <m/>
    <m/>
    <m/>
    <m/>
    <n v="0"/>
  </r>
  <r>
    <x v="61"/>
    <s v="KEN"/>
    <x v="8"/>
    <s v="IC.BUS.DISC.XQ"/>
    <n v="10"/>
    <m/>
    <m/>
    <m/>
    <m/>
    <n v="10"/>
  </r>
  <r>
    <x v="61"/>
    <s v="KEN"/>
    <x v="9"/>
    <s v="GC.DOD.TOTL.GD.ZS"/>
    <m/>
    <m/>
    <m/>
    <m/>
    <m/>
    <n v="0"/>
  </r>
  <r>
    <x v="61"/>
    <s v="KEN"/>
    <x v="10"/>
    <s v="SE.COM.DURS"/>
    <n v="12"/>
    <n v="12"/>
    <n v="12"/>
    <n v="12"/>
    <n v="12"/>
    <n v="12"/>
  </r>
  <r>
    <x v="61"/>
    <s v="KEN"/>
    <x v="11"/>
    <s v="CC.PER.RNK"/>
    <n v="24.2857151031494"/>
    <n v="20.9523811340332"/>
    <n v="26.190475463867202"/>
    <n v="24.056604385376001"/>
    <n v="24.056604385376001"/>
    <n v="26.190475463867202"/>
  </r>
  <r>
    <x v="61"/>
    <s v="KEN"/>
    <x v="12"/>
    <s v="per_sa_allsa.cov_pop_tot"/>
    <m/>
    <m/>
    <m/>
    <m/>
    <m/>
    <n v="0"/>
  </r>
  <r>
    <x v="61"/>
    <s v="KEN"/>
    <x v="13"/>
    <s v="per_si_allsi.cov_q1_tot"/>
    <m/>
    <m/>
    <m/>
    <m/>
    <m/>
    <n v="0"/>
  </r>
  <r>
    <x v="61"/>
    <s v="KEN"/>
    <x v="14"/>
    <s v="SP.DYN.TO65.FE.ZS"/>
    <n v="60.064734999999999"/>
    <n v="58.766956"/>
    <n v="57.939014"/>
    <n v="61.55462"/>
    <m/>
    <n v="61.55462"/>
  </r>
  <r>
    <x v="61"/>
    <s v="KEN"/>
    <x v="15"/>
    <s v="SP.POP.TECH.RD.P6"/>
    <m/>
    <m/>
    <m/>
    <m/>
    <m/>
    <n v="0"/>
  </r>
  <r>
    <x v="61"/>
    <s v="KEN"/>
    <x v="16"/>
    <s v="IC.REG.DURS"/>
    <n v="23"/>
    <m/>
    <m/>
    <m/>
    <m/>
    <n v="23"/>
  </r>
  <r>
    <x v="62"/>
    <s v="KOR"/>
    <x v="0"/>
    <s v="FX.OWN.TOTL.ZS"/>
    <m/>
    <m/>
    <n v="98.67"/>
    <m/>
    <m/>
    <n v="98.67"/>
  </r>
  <r>
    <x v="62"/>
    <s v="KOR"/>
    <x v="1"/>
    <s v="FX.OWN.TOTL.FE.ZS"/>
    <m/>
    <m/>
    <n v="98.68"/>
    <m/>
    <m/>
    <n v="98.68"/>
  </r>
  <r>
    <x v="62"/>
    <s v="KOR"/>
    <x v="2"/>
    <s v="FX.OWN.TOTL.MA.ZS"/>
    <m/>
    <m/>
    <n v="98.66"/>
    <m/>
    <m/>
    <n v="98.66"/>
  </r>
  <r>
    <x v="62"/>
    <s v="KOR"/>
    <x v="3"/>
    <s v="FX.OWN.TOTL.40.ZS"/>
    <m/>
    <m/>
    <n v="96.89"/>
    <m/>
    <m/>
    <n v="96.89"/>
  </r>
  <r>
    <x v="62"/>
    <s v="KOR"/>
    <x v="4"/>
    <s v="FX.OWN.TOTL.YG.ZS"/>
    <m/>
    <m/>
    <n v="98.57"/>
    <m/>
    <m/>
    <n v="98.57"/>
  </r>
  <r>
    <x v="62"/>
    <s v="KOR"/>
    <x v="5"/>
    <s v="FX.OWN.TOTL.PL.ZS"/>
    <m/>
    <m/>
    <n v="95.56"/>
    <m/>
    <m/>
    <n v="95.56"/>
  </r>
  <r>
    <x v="62"/>
    <s v="KOR"/>
    <x v="6"/>
    <s v="SL.TLF.0714.WK.TM"/>
    <m/>
    <m/>
    <m/>
    <m/>
    <m/>
    <n v="0"/>
  </r>
  <r>
    <x v="62"/>
    <s v="KOR"/>
    <x v="7"/>
    <s v="IC.FRM.BRIB.ZS"/>
    <m/>
    <m/>
    <m/>
    <m/>
    <m/>
    <n v="0"/>
  </r>
  <r>
    <x v="62"/>
    <s v="KOR"/>
    <x v="8"/>
    <s v="IC.BUS.DISC.XQ"/>
    <n v="8"/>
    <m/>
    <m/>
    <m/>
    <m/>
    <n v="8"/>
  </r>
  <r>
    <x v="62"/>
    <s v="KOR"/>
    <x v="9"/>
    <s v="GC.DOD.TOTL.GD.ZS"/>
    <n v="39.969480137044002"/>
    <n v="46.431596642337901"/>
    <n v="48.955278643504002"/>
    <n v="51.1791323198157"/>
    <m/>
    <n v="51.1791323198157"/>
  </r>
  <r>
    <x v="62"/>
    <s v="KOR"/>
    <x v="10"/>
    <s v="SE.COM.DURS"/>
    <n v="9"/>
    <n v="9"/>
    <n v="9"/>
    <n v="9"/>
    <n v="9"/>
    <n v="9"/>
  </r>
  <r>
    <x v="62"/>
    <s v="KOR"/>
    <x v="11"/>
    <s v="CC.PER.RNK"/>
    <n v="75.238098144531193"/>
    <n v="75.238098144531193"/>
    <n v="76.666664123535199"/>
    <n v="76.886795043945298"/>
    <n v="79.716979980468807"/>
    <n v="79.716979980468807"/>
  </r>
  <r>
    <x v="62"/>
    <s v="KOR"/>
    <x v="12"/>
    <s v="per_sa_allsa.cov_pop_tot"/>
    <m/>
    <m/>
    <m/>
    <m/>
    <m/>
    <n v="0"/>
  </r>
  <r>
    <x v="62"/>
    <s v="KOR"/>
    <x v="13"/>
    <s v="per_si_allsi.cov_q1_tot"/>
    <m/>
    <m/>
    <m/>
    <m/>
    <m/>
    <n v="0"/>
  </r>
  <r>
    <x v="62"/>
    <s v="KOR"/>
    <x v="14"/>
    <s v="SP.DYN.TO65.FE.ZS"/>
    <n v="96.123594999999995"/>
    <n v="95.036581999999996"/>
    <n v="95.300612999999998"/>
    <n v="94.590853999999993"/>
    <m/>
    <n v="96.123594999999995"/>
  </r>
  <r>
    <x v="62"/>
    <s v="KOR"/>
    <x v="15"/>
    <s v="SP.POP.TECH.RD.P6"/>
    <m/>
    <m/>
    <m/>
    <m/>
    <m/>
    <n v="0"/>
  </r>
  <r>
    <x v="62"/>
    <s v="KOR"/>
    <x v="16"/>
    <s v="IC.REG.DURS"/>
    <n v="8"/>
    <m/>
    <m/>
    <m/>
    <m/>
    <n v="8"/>
  </r>
  <r>
    <x v="63"/>
    <s v="KWT"/>
    <x v="0"/>
    <s v="FX.OWN.TOTL.ZS"/>
    <m/>
    <m/>
    <m/>
    <m/>
    <m/>
    <n v="0"/>
  </r>
  <r>
    <x v="63"/>
    <s v="KWT"/>
    <x v="1"/>
    <s v="FX.OWN.TOTL.FE.ZS"/>
    <m/>
    <m/>
    <m/>
    <m/>
    <m/>
    <n v="0"/>
  </r>
  <r>
    <x v="63"/>
    <s v="KWT"/>
    <x v="2"/>
    <s v="FX.OWN.TOTL.MA.ZS"/>
    <m/>
    <m/>
    <m/>
    <m/>
    <m/>
    <n v="0"/>
  </r>
  <r>
    <x v="63"/>
    <s v="KWT"/>
    <x v="3"/>
    <s v="FX.OWN.TOTL.40.ZS"/>
    <m/>
    <m/>
    <m/>
    <m/>
    <m/>
    <n v="0"/>
  </r>
  <r>
    <x v="63"/>
    <s v="KWT"/>
    <x v="4"/>
    <s v="FX.OWN.TOTL.YG.ZS"/>
    <m/>
    <m/>
    <m/>
    <m/>
    <m/>
    <n v="0"/>
  </r>
  <r>
    <x v="63"/>
    <s v="KWT"/>
    <x v="5"/>
    <s v="FX.OWN.TOTL.PL.ZS"/>
    <m/>
    <m/>
    <m/>
    <m/>
    <m/>
    <n v="0"/>
  </r>
  <r>
    <x v="63"/>
    <s v="KWT"/>
    <x v="6"/>
    <s v="SL.TLF.0714.WK.TM"/>
    <m/>
    <m/>
    <m/>
    <m/>
    <m/>
    <n v="0"/>
  </r>
  <r>
    <x v="63"/>
    <s v="KWT"/>
    <x v="7"/>
    <s v="IC.FRM.BRIB.ZS"/>
    <m/>
    <m/>
    <m/>
    <m/>
    <m/>
    <n v="0"/>
  </r>
  <r>
    <x v="63"/>
    <s v="KWT"/>
    <x v="8"/>
    <s v="IC.BUS.DISC.XQ"/>
    <n v="5"/>
    <m/>
    <m/>
    <m/>
    <m/>
    <n v="5"/>
  </r>
  <r>
    <x v="63"/>
    <s v="KWT"/>
    <x v="9"/>
    <s v="GC.DOD.TOTL.GD.ZS"/>
    <m/>
    <m/>
    <m/>
    <m/>
    <m/>
    <n v="0"/>
  </r>
  <r>
    <x v="63"/>
    <s v="KWT"/>
    <x v="10"/>
    <s v="SE.COM.DURS"/>
    <n v="9"/>
    <n v="9"/>
    <n v="9"/>
    <n v="9"/>
    <n v="9"/>
    <n v="9"/>
  </r>
  <r>
    <x v="63"/>
    <s v="KWT"/>
    <x v="11"/>
    <s v="CC.PER.RNK"/>
    <n v="50"/>
    <n v="52.380950927734403"/>
    <n v="51.904762268066399"/>
    <n v="58.962265014648402"/>
    <n v="60.377357482910199"/>
    <n v="60.377357482910199"/>
  </r>
  <r>
    <x v="63"/>
    <s v="KWT"/>
    <x v="12"/>
    <s v="per_sa_allsa.cov_pop_tot"/>
    <m/>
    <m/>
    <m/>
    <m/>
    <m/>
    <n v="0"/>
  </r>
  <r>
    <x v="63"/>
    <s v="KWT"/>
    <x v="13"/>
    <s v="per_si_allsi.cov_q1_tot"/>
    <m/>
    <m/>
    <m/>
    <m/>
    <m/>
    <n v="0"/>
  </r>
  <r>
    <x v="63"/>
    <s v="KWT"/>
    <x v="14"/>
    <s v="SP.DYN.TO65.FE.ZS"/>
    <n v="94.200935999999999"/>
    <n v="92.336004000000003"/>
    <n v="89.346851000000001"/>
    <n v="93.041208999999995"/>
    <m/>
    <n v="94.200935999999999"/>
  </r>
  <r>
    <x v="63"/>
    <s v="KWT"/>
    <x v="15"/>
    <s v="SP.POP.TECH.RD.P6"/>
    <m/>
    <m/>
    <m/>
    <m/>
    <m/>
    <n v="0"/>
  </r>
  <r>
    <x v="63"/>
    <s v="KWT"/>
    <x v="16"/>
    <s v="IC.REG.DURS"/>
    <n v="19.399999999999999"/>
    <m/>
    <m/>
    <m/>
    <m/>
    <n v="19.399999999999999"/>
  </r>
  <r>
    <x v="64"/>
    <s v="KGZ"/>
    <x v="0"/>
    <s v="FX.OWN.TOTL.ZS"/>
    <m/>
    <m/>
    <n v="45.09"/>
    <m/>
    <m/>
    <n v="45.09"/>
  </r>
  <r>
    <x v="64"/>
    <s v="KGZ"/>
    <x v="1"/>
    <s v="FX.OWN.TOTL.FE.ZS"/>
    <m/>
    <m/>
    <n v="43.76"/>
    <m/>
    <m/>
    <n v="43.76"/>
  </r>
  <r>
    <x v="64"/>
    <s v="KGZ"/>
    <x v="2"/>
    <s v="FX.OWN.TOTL.MA.ZS"/>
    <m/>
    <m/>
    <n v="46.54"/>
    <m/>
    <m/>
    <n v="46.54"/>
  </r>
  <r>
    <x v="64"/>
    <s v="KGZ"/>
    <x v="3"/>
    <s v="FX.OWN.TOTL.40.ZS"/>
    <m/>
    <m/>
    <n v="44.09"/>
    <m/>
    <m/>
    <n v="44.09"/>
  </r>
  <r>
    <x v="64"/>
    <s v="KGZ"/>
    <x v="4"/>
    <s v="FX.OWN.TOTL.YG.ZS"/>
    <m/>
    <m/>
    <n v="36.24"/>
    <m/>
    <m/>
    <n v="36.24"/>
  </r>
  <r>
    <x v="64"/>
    <s v="KGZ"/>
    <x v="5"/>
    <s v="FX.OWN.TOTL.PL.ZS"/>
    <m/>
    <m/>
    <n v="28.94"/>
    <m/>
    <m/>
    <n v="28.94"/>
  </r>
  <r>
    <x v="64"/>
    <s v="KGZ"/>
    <x v="6"/>
    <s v="SL.TLF.0714.WK.TM"/>
    <m/>
    <m/>
    <m/>
    <m/>
    <m/>
    <n v="0"/>
  </r>
  <r>
    <x v="64"/>
    <s v="KGZ"/>
    <x v="7"/>
    <s v="IC.FRM.BRIB.ZS"/>
    <n v="31.4"/>
    <m/>
    <m/>
    <m/>
    <n v="31.4"/>
    <n v="31.4"/>
  </r>
  <r>
    <x v="64"/>
    <s v="KGZ"/>
    <x v="8"/>
    <s v="IC.BUS.DISC.XQ"/>
    <n v="7"/>
    <m/>
    <m/>
    <m/>
    <m/>
    <n v="7"/>
  </r>
  <r>
    <x v="64"/>
    <s v="KGZ"/>
    <x v="9"/>
    <s v="GC.DOD.TOTL.GD.ZS"/>
    <n v="51.332537837041102"/>
    <n v="67.956222293159499"/>
    <n v="56.362369460064301"/>
    <n v="47.085480540382001"/>
    <n v="44.0004229803138"/>
    <n v="67.956222293159499"/>
  </r>
  <r>
    <x v="64"/>
    <s v="KGZ"/>
    <x v="10"/>
    <s v="SE.COM.DURS"/>
    <n v="10"/>
    <n v="10"/>
    <n v="10"/>
    <n v="10"/>
    <n v="10"/>
    <n v="10"/>
  </r>
  <r>
    <x v="64"/>
    <s v="KGZ"/>
    <x v="11"/>
    <s v="CC.PER.RNK"/>
    <n v="17.142856597900401"/>
    <n v="13.3333330154419"/>
    <n v="12.8571424484253"/>
    <n v="10.377358436584499"/>
    <n v="11.3207550048828"/>
    <n v="17.142856597900401"/>
  </r>
  <r>
    <x v="64"/>
    <s v="KGZ"/>
    <x v="12"/>
    <s v="per_sa_allsa.cov_pop_tot"/>
    <n v="10.6172086816066"/>
    <n v="9.8844940401230907"/>
    <m/>
    <m/>
    <m/>
    <n v="10.6172086816066"/>
  </r>
  <r>
    <x v="64"/>
    <s v="KGZ"/>
    <x v="13"/>
    <s v="per_si_allsi.cov_q1_tot"/>
    <n v="49.719659941076998"/>
    <n v="49.9245645504678"/>
    <m/>
    <m/>
    <m/>
    <n v="49.9245645504678"/>
  </r>
  <r>
    <x v="64"/>
    <s v="KGZ"/>
    <x v="14"/>
    <s v="SP.DYN.TO65.FE.ZS"/>
    <n v="82.858830999999995"/>
    <n v="79.533484999999999"/>
    <n v="80.020461999999995"/>
    <n v="83.671413999999999"/>
    <m/>
    <n v="83.671413999999999"/>
  </r>
  <r>
    <x v="64"/>
    <s v="KGZ"/>
    <x v="15"/>
    <s v="SP.POP.TECH.RD.P6"/>
    <m/>
    <m/>
    <m/>
    <m/>
    <m/>
    <n v="0"/>
  </r>
  <r>
    <x v="64"/>
    <s v="KGZ"/>
    <x v="16"/>
    <s v="IC.REG.DURS"/>
    <n v="10"/>
    <m/>
    <m/>
    <m/>
    <m/>
    <n v="10"/>
  </r>
  <r>
    <x v="65"/>
    <s v="LAO"/>
    <x v="0"/>
    <s v="FX.OWN.TOTL.ZS"/>
    <m/>
    <m/>
    <n v="37.32"/>
    <m/>
    <m/>
    <n v="37.32"/>
  </r>
  <r>
    <x v="65"/>
    <s v="LAO"/>
    <x v="1"/>
    <s v="FX.OWN.TOTL.FE.ZS"/>
    <m/>
    <m/>
    <n v="37.85"/>
    <m/>
    <m/>
    <n v="37.85"/>
  </r>
  <r>
    <x v="65"/>
    <s v="LAO"/>
    <x v="2"/>
    <s v="FX.OWN.TOTL.MA.ZS"/>
    <m/>
    <m/>
    <n v="36.75"/>
    <m/>
    <m/>
    <n v="36.75"/>
  </r>
  <r>
    <x v="65"/>
    <s v="LAO"/>
    <x v="3"/>
    <s v="FX.OWN.TOTL.40.ZS"/>
    <m/>
    <m/>
    <n v="22.8"/>
    <m/>
    <m/>
    <n v="22.8"/>
  </r>
  <r>
    <x v="65"/>
    <s v="LAO"/>
    <x v="4"/>
    <s v="FX.OWN.TOTL.YG.ZS"/>
    <m/>
    <m/>
    <n v="26.38"/>
    <m/>
    <m/>
    <n v="26.38"/>
  </r>
  <r>
    <x v="65"/>
    <s v="LAO"/>
    <x v="5"/>
    <s v="FX.OWN.TOTL.PL.ZS"/>
    <m/>
    <m/>
    <n v="28.72"/>
    <m/>
    <m/>
    <n v="28.72"/>
  </r>
  <r>
    <x v="65"/>
    <s v="LAO"/>
    <x v="6"/>
    <s v="SL.TLF.0714.WK.TM"/>
    <m/>
    <m/>
    <m/>
    <m/>
    <m/>
    <n v="0"/>
  </r>
  <r>
    <x v="65"/>
    <s v="LAO"/>
    <x v="7"/>
    <s v="IC.FRM.BRIB.ZS"/>
    <m/>
    <m/>
    <m/>
    <m/>
    <m/>
    <n v="0"/>
  </r>
  <r>
    <x v="65"/>
    <s v="LAO"/>
    <x v="8"/>
    <s v="IC.BUS.DISC.XQ"/>
    <n v="6"/>
    <m/>
    <m/>
    <m/>
    <m/>
    <n v="6"/>
  </r>
  <r>
    <x v="65"/>
    <s v="LAO"/>
    <x v="9"/>
    <s v="GC.DOD.TOTL.GD.ZS"/>
    <m/>
    <m/>
    <m/>
    <m/>
    <m/>
    <n v="0"/>
  </r>
  <r>
    <x v="65"/>
    <s v="LAO"/>
    <x v="10"/>
    <s v="SE.COM.DURS"/>
    <n v="9"/>
    <n v="9"/>
    <n v="9"/>
    <n v="9"/>
    <n v="9"/>
    <n v="9"/>
  </r>
  <r>
    <x v="65"/>
    <s v="LAO"/>
    <x v="11"/>
    <s v="CC.PER.RNK"/>
    <n v="12.8571424484253"/>
    <n v="14.761904716491699"/>
    <n v="15.238095283508301"/>
    <n v="19.811321258544901"/>
    <n v="19.811321258544901"/>
    <n v="19.811321258544901"/>
  </r>
  <r>
    <x v="65"/>
    <s v="LAO"/>
    <x v="12"/>
    <s v="per_sa_allsa.cov_pop_tot"/>
    <m/>
    <m/>
    <m/>
    <m/>
    <m/>
    <n v="0"/>
  </r>
  <r>
    <x v="65"/>
    <s v="LAO"/>
    <x v="13"/>
    <s v="per_si_allsi.cov_q1_tot"/>
    <m/>
    <m/>
    <m/>
    <m/>
    <m/>
    <n v="0"/>
  </r>
  <r>
    <x v="65"/>
    <s v="LAO"/>
    <x v="14"/>
    <s v="SP.DYN.TO65.FE.ZS"/>
    <n v="75.043710000000004"/>
    <n v="76.285458000000006"/>
    <n v="74.274300999999994"/>
    <n v="76.463452000000004"/>
    <m/>
    <n v="76.463452000000004"/>
  </r>
  <r>
    <x v="65"/>
    <s v="LAO"/>
    <x v="15"/>
    <s v="SP.POP.TECH.RD.P6"/>
    <m/>
    <m/>
    <m/>
    <m/>
    <m/>
    <n v="0"/>
  </r>
  <r>
    <x v="65"/>
    <s v="LAO"/>
    <x v="16"/>
    <s v="IC.REG.DURS"/>
    <n v="173"/>
    <m/>
    <m/>
    <m/>
    <m/>
    <n v="173"/>
  </r>
  <r>
    <x v="66"/>
    <s v="LVA"/>
    <x v="0"/>
    <s v="FX.OWN.TOTL.ZS"/>
    <m/>
    <m/>
    <n v="96.62"/>
    <m/>
    <m/>
    <n v="96.62"/>
  </r>
  <r>
    <x v="66"/>
    <s v="LVA"/>
    <x v="1"/>
    <s v="FX.OWN.TOTL.FE.ZS"/>
    <m/>
    <m/>
    <n v="97.55"/>
    <m/>
    <m/>
    <n v="97.55"/>
  </r>
  <r>
    <x v="66"/>
    <s v="LVA"/>
    <x v="2"/>
    <s v="FX.OWN.TOTL.MA.ZS"/>
    <m/>
    <m/>
    <n v="95.51"/>
    <m/>
    <m/>
    <n v="95.51"/>
  </r>
  <r>
    <x v="66"/>
    <s v="LVA"/>
    <x v="3"/>
    <s v="FX.OWN.TOTL.40.ZS"/>
    <m/>
    <m/>
    <n v="94.06"/>
    <m/>
    <m/>
    <n v="94.06"/>
  </r>
  <r>
    <x v="66"/>
    <s v="LVA"/>
    <x v="4"/>
    <s v="FX.OWN.TOTL.YG.ZS"/>
    <m/>
    <m/>
    <n v="94.33"/>
    <m/>
    <m/>
    <n v="94.33"/>
  </r>
  <r>
    <x v="66"/>
    <s v="LVA"/>
    <x v="5"/>
    <s v="FX.OWN.TOTL.PL.ZS"/>
    <m/>
    <m/>
    <n v="90.98"/>
    <m/>
    <m/>
    <n v="90.98"/>
  </r>
  <r>
    <x v="66"/>
    <s v="LVA"/>
    <x v="6"/>
    <s v="SL.TLF.0714.WK.TM"/>
    <m/>
    <m/>
    <m/>
    <m/>
    <m/>
    <n v="0"/>
  </r>
  <r>
    <x v="66"/>
    <s v="LVA"/>
    <x v="7"/>
    <s v="IC.FRM.BRIB.ZS"/>
    <n v="2"/>
    <m/>
    <m/>
    <m/>
    <m/>
    <n v="2"/>
  </r>
  <r>
    <x v="66"/>
    <s v="LVA"/>
    <x v="8"/>
    <s v="IC.BUS.DISC.XQ"/>
    <n v="5"/>
    <m/>
    <m/>
    <m/>
    <m/>
    <n v="5"/>
  </r>
  <r>
    <x v="66"/>
    <s v="LVA"/>
    <x v="9"/>
    <s v="GC.DOD.TOTL.GD.ZS"/>
    <m/>
    <m/>
    <m/>
    <m/>
    <m/>
    <n v="0"/>
  </r>
  <r>
    <x v="66"/>
    <s v="LVA"/>
    <x v="10"/>
    <s v="SE.COM.DURS"/>
    <n v="11"/>
    <n v="11"/>
    <n v="11"/>
    <n v="11"/>
    <n v="11"/>
    <n v="11"/>
  </r>
  <r>
    <x v="66"/>
    <s v="LVA"/>
    <x v="11"/>
    <s v="CC.PER.RNK"/>
    <n v="66.666664123535199"/>
    <n v="74.761901855468807"/>
    <n v="76.190475463867202"/>
    <n v="75.471694946289105"/>
    <n v="74.528305053710895"/>
    <n v="76.190475463867202"/>
  </r>
  <r>
    <x v="66"/>
    <s v="LVA"/>
    <x v="12"/>
    <s v="per_sa_allsa.cov_pop_tot"/>
    <m/>
    <m/>
    <m/>
    <m/>
    <m/>
    <n v="0"/>
  </r>
  <r>
    <x v="66"/>
    <s v="LVA"/>
    <x v="13"/>
    <s v="per_si_allsi.cov_q1_tot"/>
    <m/>
    <m/>
    <m/>
    <m/>
    <m/>
    <n v="0"/>
  </r>
  <r>
    <x v="66"/>
    <s v="LVA"/>
    <x v="14"/>
    <s v="SP.DYN.TO65.FE.ZS"/>
    <n v="87.167636000000002"/>
    <n v="87.363545000000002"/>
    <n v="84.585686999999993"/>
    <n v="86.664956000000004"/>
    <m/>
    <n v="87.363545000000002"/>
  </r>
  <r>
    <x v="66"/>
    <s v="LVA"/>
    <x v="15"/>
    <s v="SP.POP.TECH.RD.P6"/>
    <m/>
    <m/>
    <m/>
    <m/>
    <m/>
    <n v="0"/>
  </r>
  <r>
    <x v="66"/>
    <s v="LVA"/>
    <x v="16"/>
    <s v="IC.REG.DURS"/>
    <n v="5.5"/>
    <m/>
    <m/>
    <m/>
    <m/>
    <n v="5.5"/>
  </r>
  <r>
    <x v="67"/>
    <s v="LBN"/>
    <x v="0"/>
    <s v="FX.OWN.TOTL.ZS"/>
    <m/>
    <m/>
    <n v="20.7"/>
    <m/>
    <m/>
    <n v="20.7"/>
  </r>
  <r>
    <x v="67"/>
    <s v="LBN"/>
    <x v="1"/>
    <s v="FX.OWN.TOTL.FE.ZS"/>
    <m/>
    <m/>
    <n v="16.59"/>
    <m/>
    <m/>
    <n v="16.59"/>
  </r>
  <r>
    <x v="67"/>
    <s v="LBN"/>
    <x v="2"/>
    <s v="FX.OWN.TOTL.MA.ZS"/>
    <m/>
    <m/>
    <n v="24.65"/>
    <m/>
    <m/>
    <n v="24.65"/>
  </r>
  <r>
    <x v="67"/>
    <s v="LBN"/>
    <x v="3"/>
    <s v="FX.OWN.TOTL.40.ZS"/>
    <m/>
    <m/>
    <n v="12.85"/>
    <m/>
    <m/>
    <n v="12.85"/>
  </r>
  <r>
    <x v="67"/>
    <s v="LBN"/>
    <x v="4"/>
    <s v="FX.OWN.TOTL.YG.ZS"/>
    <m/>
    <m/>
    <n v="7.87"/>
    <m/>
    <m/>
    <n v="7.87"/>
  </r>
  <r>
    <x v="67"/>
    <s v="LBN"/>
    <x v="5"/>
    <s v="FX.OWN.TOTL.PL.ZS"/>
    <m/>
    <m/>
    <n v="15.51"/>
    <m/>
    <m/>
    <n v="15.51"/>
  </r>
  <r>
    <x v="67"/>
    <s v="LBN"/>
    <x v="6"/>
    <s v="SL.TLF.0714.WK.TM"/>
    <m/>
    <m/>
    <m/>
    <m/>
    <m/>
    <n v="0"/>
  </r>
  <r>
    <x v="67"/>
    <s v="LBN"/>
    <x v="7"/>
    <s v="IC.FRM.BRIB.ZS"/>
    <n v="21.8"/>
    <m/>
    <m/>
    <m/>
    <m/>
    <n v="21.8"/>
  </r>
  <r>
    <x v="67"/>
    <s v="LBN"/>
    <x v="8"/>
    <s v="IC.BUS.DISC.XQ"/>
    <n v="9"/>
    <m/>
    <m/>
    <m/>
    <m/>
    <n v="9"/>
  </r>
  <r>
    <x v="67"/>
    <s v="LBN"/>
    <x v="9"/>
    <s v="GC.DOD.TOTL.GD.ZS"/>
    <m/>
    <m/>
    <m/>
    <m/>
    <m/>
    <n v="0"/>
  </r>
  <r>
    <x v="67"/>
    <s v="LBN"/>
    <x v="10"/>
    <s v="SE.COM.DURS"/>
    <n v="10"/>
    <n v="10"/>
    <n v="10"/>
    <n v="10"/>
    <n v="10"/>
    <n v="10"/>
  </r>
  <r>
    <x v="67"/>
    <s v="LBN"/>
    <x v="11"/>
    <s v="CC.PER.RNK"/>
    <n v="11.904762268066399"/>
    <n v="11.904762268066399"/>
    <n v="10.4761905670166"/>
    <n v="14.1509437561035"/>
    <n v="10.8490562438965"/>
    <n v="14.1509437561035"/>
  </r>
  <r>
    <x v="67"/>
    <s v="LBN"/>
    <x v="12"/>
    <s v="per_sa_allsa.cov_pop_tot"/>
    <m/>
    <m/>
    <m/>
    <m/>
    <m/>
    <n v="0"/>
  </r>
  <r>
    <x v="67"/>
    <s v="LBN"/>
    <x v="13"/>
    <s v="per_si_allsi.cov_q1_tot"/>
    <m/>
    <m/>
    <m/>
    <m/>
    <m/>
    <n v="0"/>
  </r>
  <r>
    <x v="67"/>
    <s v="LBN"/>
    <x v="14"/>
    <s v="SP.DYN.TO65.FE.ZS"/>
    <n v="89.796081999999998"/>
    <n v="87.723491999999993"/>
    <n v="85.523454999999998"/>
    <n v="89.587873000000002"/>
    <m/>
    <n v="89.796081999999998"/>
  </r>
  <r>
    <x v="67"/>
    <s v="LBN"/>
    <x v="15"/>
    <s v="SP.POP.TECH.RD.P6"/>
    <m/>
    <m/>
    <m/>
    <m/>
    <m/>
    <n v="0"/>
  </r>
  <r>
    <x v="67"/>
    <s v="LBN"/>
    <x v="16"/>
    <s v="IC.REG.DURS"/>
    <n v="15"/>
    <m/>
    <m/>
    <m/>
    <m/>
    <n v="15"/>
  </r>
  <r>
    <x v="68"/>
    <s v="LSO"/>
    <x v="0"/>
    <s v="FX.OWN.TOTL.ZS"/>
    <m/>
    <m/>
    <m/>
    <n v="63.63"/>
    <m/>
    <n v="63.63"/>
  </r>
  <r>
    <x v="68"/>
    <s v="LSO"/>
    <x v="1"/>
    <s v="FX.OWN.TOTL.FE.ZS"/>
    <m/>
    <m/>
    <m/>
    <n v="62.37"/>
    <m/>
    <n v="62.37"/>
  </r>
  <r>
    <x v="68"/>
    <s v="LSO"/>
    <x v="2"/>
    <s v="FX.OWN.TOTL.MA.ZS"/>
    <m/>
    <m/>
    <m/>
    <n v="65.05"/>
    <m/>
    <n v="65.05"/>
  </r>
  <r>
    <x v="68"/>
    <s v="LSO"/>
    <x v="3"/>
    <s v="FX.OWN.TOTL.40.ZS"/>
    <m/>
    <m/>
    <m/>
    <n v="58.64"/>
    <m/>
    <n v="58.64"/>
  </r>
  <r>
    <x v="68"/>
    <s v="LSO"/>
    <x v="4"/>
    <s v="FX.OWN.TOTL.YG.ZS"/>
    <m/>
    <m/>
    <m/>
    <n v="61.8"/>
    <m/>
    <n v="61.8"/>
  </r>
  <r>
    <x v="68"/>
    <s v="LSO"/>
    <x v="5"/>
    <s v="FX.OWN.TOTL.PL.ZS"/>
    <m/>
    <m/>
    <m/>
    <n v="55.49"/>
    <m/>
    <n v="55.49"/>
  </r>
  <r>
    <x v="68"/>
    <s v="LSO"/>
    <x v="6"/>
    <s v="SL.TLF.0714.WK.TM"/>
    <m/>
    <m/>
    <m/>
    <m/>
    <m/>
    <n v="0"/>
  </r>
  <r>
    <x v="68"/>
    <s v="LSO"/>
    <x v="7"/>
    <s v="IC.FRM.BRIB.ZS"/>
    <m/>
    <m/>
    <m/>
    <m/>
    <n v="7.3"/>
    <n v="7.3"/>
  </r>
  <r>
    <x v="68"/>
    <s v="LSO"/>
    <x v="8"/>
    <s v="IC.BUS.DISC.XQ"/>
    <n v="3"/>
    <m/>
    <m/>
    <m/>
    <m/>
    <n v="3"/>
  </r>
  <r>
    <x v="68"/>
    <s v="LSO"/>
    <x v="9"/>
    <s v="GC.DOD.TOTL.GD.ZS"/>
    <n v="32.1670318908686"/>
    <n v="2.9927168525560202"/>
    <m/>
    <m/>
    <m/>
    <n v="32.1670318908686"/>
  </r>
  <r>
    <x v="68"/>
    <s v="LSO"/>
    <x v="10"/>
    <s v="SE.COM.DURS"/>
    <n v="7"/>
    <n v="7"/>
    <n v="7"/>
    <n v="7"/>
    <n v="7"/>
    <n v="7"/>
  </r>
  <r>
    <x v="68"/>
    <s v="LSO"/>
    <x v="11"/>
    <s v="CC.PER.RNK"/>
    <n v="51.4285697937012"/>
    <n v="49.047618865966797"/>
    <n v="42.857143402099602"/>
    <n v="41.037734985351598"/>
    <n v="33.490566253662102"/>
    <n v="51.4285697937012"/>
  </r>
  <r>
    <x v="68"/>
    <s v="LSO"/>
    <x v="12"/>
    <s v="per_sa_allsa.cov_pop_tot"/>
    <m/>
    <m/>
    <m/>
    <m/>
    <m/>
    <n v="0"/>
  </r>
  <r>
    <x v="68"/>
    <s v="LSO"/>
    <x v="13"/>
    <s v="per_si_allsi.cov_q1_tot"/>
    <m/>
    <m/>
    <m/>
    <m/>
    <m/>
    <n v="0"/>
  </r>
  <r>
    <x v="68"/>
    <s v="LSO"/>
    <x v="14"/>
    <s v="SP.DYN.TO65.FE.ZS"/>
    <n v="45.575623999999998"/>
    <n v="45.744323999999999"/>
    <n v="42.5749"/>
    <n v="49.357239"/>
    <m/>
    <n v="49.357239"/>
  </r>
  <r>
    <x v="68"/>
    <s v="LSO"/>
    <x v="15"/>
    <s v="SP.POP.TECH.RD.P6"/>
    <m/>
    <m/>
    <m/>
    <m/>
    <m/>
    <n v="0"/>
  </r>
  <r>
    <x v="68"/>
    <s v="LSO"/>
    <x v="16"/>
    <s v="IC.REG.DURS"/>
    <n v="15"/>
    <m/>
    <m/>
    <m/>
    <m/>
    <n v="15"/>
  </r>
  <r>
    <x v="69"/>
    <s v="LBR"/>
    <x v="0"/>
    <s v="FX.OWN.TOTL.ZS"/>
    <m/>
    <m/>
    <n v="51.63"/>
    <m/>
    <m/>
    <n v="51.63"/>
  </r>
  <r>
    <x v="69"/>
    <s v="LBR"/>
    <x v="1"/>
    <s v="FX.OWN.TOTL.FE.ZS"/>
    <m/>
    <m/>
    <n v="44.2"/>
    <m/>
    <m/>
    <n v="44.2"/>
  </r>
  <r>
    <x v="69"/>
    <s v="LBR"/>
    <x v="2"/>
    <s v="FX.OWN.TOTL.MA.ZS"/>
    <m/>
    <m/>
    <n v="59.34"/>
    <m/>
    <m/>
    <n v="59.34"/>
  </r>
  <r>
    <x v="69"/>
    <s v="LBR"/>
    <x v="3"/>
    <s v="FX.OWN.TOTL.40.ZS"/>
    <m/>
    <m/>
    <n v="42.1"/>
    <m/>
    <m/>
    <n v="42.1"/>
  </r>
  <r>
    <x v="69"/>
    <s v="LBR"/>
    <x v="4"/>
    <s v="FX.OWN.TOTL.YG.ZS"/>
    <m/>
    <m/>
    <n v="54"/>
    <m/>
    <m/>
    <n v="54"/>
  </r>
  <r>
    <x v="69"/>
    <s v="LBR"/>
    <x v="5"/>
    <s v="FX.OWN.TOTL.PL.ZS"/>
    <m/>
    <m/>
    <n v="42.85"/>
    <m/>
    <m/>
    <n v="42.85"/>
  </r>
  <r>
    <x v="69"/>
    <s v="LBR"/>
    <x v="6"/>
    <s v="SL.TLF.0714.WK.TM"/>
    <m/>
    <m/>
    <m/>
    <m/>
    <m/>
    <n v="0"/>
  </r>
  <r>
    <x v="69"/>
    <s v="LBR"/>
    <x v="7"/>
    <s v="IC.FRM.BRIB.ZS"/>
    <m/>
    <m/>
    <m/>
    <m/>
    <m/>
    <n v="0"/>
  </r>
  <r>
    <x v="69"/>
    <s v="LBR"/>
    <x v="8"/>
    <s v="IC.BUS.DISC.XQ"/>
    <n v="4"/>
    <m/>
    <m/>
    <m/>
    <m/>
    <n v="4"/>
  </r>
  <r>
    <x v="69"/>
    <s v="LBR"/>
    <x v="9"/>
    <s v="GC.DOD.TOTL.GD.ZS"/>
    <m/>
    <m/>
    <m/>
    <m/>
    <m/>
    <n v="0"/>
  </r>
  <r>
    <x v="69"/>
    <s v="LBR"/>
    <x v="10"/>
    <s v="SE.COM.DURS"/>
    <n v="6"/>
    <n v="6"/>
    <n v="6"/>
    <n v="6"/>
    <n v="6"/>
    <n v="6"/>
  </r>
  <r>
    <x v="69"/>
    <s v="LBR"/>
    <x v="11"/>
    <s v="CC.PER.RNK"/>
    <n v="17.619047164916999"/>
    <n v="20"/>
    <n v="19.0476188659668"/>
    <n v="20.283018112182599"/>
    <n v="20.754716873168899"/>
    <n v="20.754716873168899"/>
  </r>
  <r>
    <x v="69"/>
    <s v="LBR"/>
    <x v="12"/>
    <s v="per_sa_allsa.cov_pop_tot"/>
    <m/>
    <m/>
    <m/>
    <m/>
    <m/>
    <n v="0"/>
  </r>
  <r>
    <x v="69"/>
    <s v="LBR"/>
    <x v="13"/>
    <s v="per_si_allsi.cov_q1_tot"/>
    <m/>
    <m/>
    <m/>
    <m/>
    <m/>
    <n v="0"/>
  </r>
  <r>
    <x v="69"/>
    <s v="LBR"/>
    <x v="14"/>
    <s v="SP.DYN.TO65.FE.ZS"/>
    <n v="60.469372999999997"/>
    <n v="60.391070999999997"/>
    <n v="59.261254000000001"/>
    <n v="61.502448000000001"/>
    <m/>
    <n v="61.502448000000001"/>
  </r>
  <r>
    <x v="69"/>
    <s v="LBR"/>
    <x v="15"/>
    <s v="SP.POP.TECH.RD.P6"/>
    <m/>
    <m/>
    <m/>
    <m/>
    <m/>
    <n v="0"/>
  </r>
  <r>
    <x v="69"/>
    <s v="LBR"/>
    <x v="16"/>
    <s v="IC.REG.DURS"/>
    <n v="18"/>
    <m/>
    <m/>
    <m/>
    <m/>
    <n v="18"/>
  </r>
  <r>
    <x v="70"/>
    <s v="LTU"/>
    <x v="0"/>
    <s v="FX.OWN.TOTL.ZS"/>
    <m/>
    <m/>
    <n v="93.53"/>
    <m/>
    <m/>
    <n v="93.53"/>
  </r>
  <r>
    <x v="70"/>
    <s v="LTU"/>
    <x v="1"/>
    <s v="FX.OWN.TOTL.FE.ZS"/>
    <m/>
    <m/>
    <n v="90.38"/>
    <m/>
    <m/>
    <n v="90.38"/>
  </r>
  <r>
    <x v="70"/>
    <s v="LTU"/>
    <x v="2"/>
    <s v="FX.OWN.TOTL.MA.ZS"/>
    <m/>
    <m/>
    <n v="96.99"/>
    <m/>
    <m/>
    <n v="96.99"/>
  </r>
  <r>
    <x v="70"/>
    <s v="LTU"/>
    <x v="3"/>
    <s v="FX.OWN.TOTL.40.ZS"/>
    <m/>
    <m/>
    <n v="91.33"/>
    <m/>
    <m/>
    <n v="91.33"/>
  </r>
  <r>
    <x v="70"/>
    <s v="LTU"/>
    <x v="4"/>
    <s v="FX.OWN.TOTL.YG.ZS"/>
    <m/>
    <m/>
    <n v="92.02"/>
    <m/>
    <m/>
    <n v="92.02"/>
  </r>
  <r>
    <x v="70"/>
    <s v="LTU"/>
    <x v="5"/>
    <s v="FX.OWN.TOTL.PL.ZS"/>
    <m/>
    <m/>
    <n v="74.08"/>
    <m/>
    <m/>
    <n v="74.08"/>
  </r>
  <r>
    <x v="70"/>
    <s v="LTU"/>
    <x v="6"/>
    <s v="SL.TLF.0714.WK.TM"/>
    <m/>
    <m/>
    <m/>
    <m/>
    <m/>
    <n v="0"/>
  </r>
  <r>
    <x v="70"/>
    <s v="LTU"/>
    <x v="7"/>
    <s v="IC.FRM.BRIB.ZS"/>
    <n v="0.2"/>
    <m/>
    <m/>
    <m/>
    <m/>
    <n v="0.2"/>
  </r>
  <r>
    <x v="70"/>
    <s v="LTU"/>
    <x v="8"/>
    <s v="IC.BUS.DISC.XQ"/>
    <n v="7"/>
    <m/>
    <m/>
    <m/>
    <m/>
    <n v="7"/>
  </r>
  <r>
    <x v="70"/>
    <s v="LTU"/>
    <x v="9"/>
    <s v="GC.DOD.TOTL.GD.ZS"/>
    <n v="41.874799308916899"/>
    <n v="52.452434373952201"/>
    <n v="48.039065582289503"/>
    <n v="36.038370442459602"/>
    <m/>
    <n v="52.452434373952201"/>
  </r>
  <r>
    <x v="70"/>
    <s v="LTU"/>
    <x v="10"/>
    <s v="SE.COM.DURS"/>
    <n v="11"/>
    <n v="11"/>
    <n v="11"/>
    <n v="11"/>
    <n v="11"/>
    <n v="11"/>
  </r>
  <r>
    <x v="70"/>
    <s v="LTU"/>
    <x v="11"/>
    <s v="CC.PER.RNK"/>
    <n v="73.333335876464801"/>
    <n v="78.571426391601605"/>
    <n v="79.523811340332003"/>
    <n v="76.415092468261705"/>
    <n v="77.830184936523395"/>
    <n v="79.523811340332003"/>
  </r>
  <r>
    <x v="70"/>
    <s v="LTU"/>
    <x v="12"/>
    <s v="per_sa_allsa.cov_pop_tot"/>
    <m/>
    <m/>
    <m/>
    <m/>
    <m/>
    <n v="0"/>
  </r>
  <r>
    <x v="70"/>
    <s v="LTU"/>
    <x v="13"/>
    <s v="per_si_allsi.cov_q1_tot"/>
    <m/>
    <m/>
    <m/>
    <m/>
    <m/>
    <n v="0"/>
  </r>
  <r>
    <x v="70"/>
    <s v="LTU"/>
    <x v="14"/>
    <s v="SP.DYN.TO65.FE.ZS"/>
    <n v="88.670056000000002"/>
    <n v="87.482324000000006"/>
    <n v="86.147987000000001"/>
    <n v="86.946074999999993"/>
    <m/>
    <n v="88.670056000000002"/>
  </r>
  <r>
    <x v="70"/>
    <s v="LTU"/>
    <x v="15"/>
    <s v="SP.POP.TECH.RD.P6"/>
    <m/>
    <m/>
    <m/>
    <m/>
    <m/>
    <n v="0"/>
  </r>
  <r>
    <x v="70"/>
    <s v="LTU"/>
    <x v="16"/>
    <s v="IC.REG.DURS"/>
    <n v="5.5"/>
    <m/>
    <m/>
    <m/>
    <m/>
    <n v="5.5"/>
  </r>
  <r>
    <x v="71"/>
    <s v="LUX"/>
    <x v="0"/>
    <s v="FX.OWN.TOTL.ZS"/>
    <m/>
    <m/>
    <m/>
    <m/>
    <m/>
    <n v="0"/>
  </r>
  <r>
    <x v="71"/>
    <s v="LUX"/>
    <x v="1"/>
    <s v="FX.OWN.TOTL.FE.ZS"/>
    <m/>
    <m/>
    <m/>
    <m/>
    <m/>
    <n v="0"/>
  </r>
  <r>
    <x v="71"/>
    <s v="LUX"/>
    <x v="2"/>
    <s v="FX.OWN.TOTL.MA.ZS"/>
    <m/>
    <m/>
    <m/>
    <m/>
    <m/>
    <n v="0"/>
  </r>
  <r>
    <x v="71"/>
    <s v="LUX"/>
    <x v="3"/>
    <s v="FX.OWN.TOTL.40.ZS"/>
    <m/>
    <m/>
    <m/>
    <m/>
    <m/>
    <n v="0"/>
  </r>
  <r>
    <x v="71"/>
    <s v="LUX"/>
    <x v="4"/>
    <s v="FX.OWN.TOTL.YG.ZS"/>
    <m/>
    <m/>
    <m/>
    <m/>
    <m/>
    <n v="0"/>
  </r>
  <r>
    <x v="71"/>
    <s v="LUX"/>
    <x v="5"/>
    <s v="FX.OWN.TOTL.PL.ZS"/>
    <m/>
    <m/>
    <m/>
    <m/>
    <m/>
    <n v="0"/>
  </r>
  <r>
    <x v="71"/>
    <s v="LUX"/>
    <x v="6"/>
    <s v="SL.TLF.0714.WK.TM"/>
    <m/>
    <m/>
    <m/>
    <m/>
    <m/>
    <n v="0"/>
  </r>
  <r>
    <x v="71"/>
    <s v="LUX"/>
    <x v="7"/>
    <s v="IC.FRM.BRIB.ZS"/>
    <m/>
    <n v="0"/>
    <m/>
    <m/>
    <m/>
    <n v="0"/>
  </r>
  <r>
    <x v="71"/>
    <s v="LUX"/>
    <x v="8"/>
    <s v="IC.BUS.DISC.XQ"/>
    <n v="6"/>
    <m/>
    <m/>
    <m/>
    <m/>
    <n v="6"/>
  </r>
  <r>
    <x v="71"/>
    <s v="LUX"/>
    <x v="9"/>
    <s v="GC.DOD.TOTL.GD.ZS"/>
    <m/>
    <m/>
    <m/>
    <m/>
    <m/>
    <n v="0"/>
  </r>
  <r>
    <x v="71"/>
    <s v="LUX"/>
    <x v="10"/>
    <s v="SE.COM.DURS"/>
    <n v="12"/>
    <n v="12"/>
    <n v="12"/>
    <n v="12"/>
    <n v="12"/>
    <n v="12"/>
  </r>
  <r>
    <x v="71"/>
    <s v="LUX"/>
    <x v="11"/>
    <s v="CC.PER.RNK"/>
    <n v="97.619049072265597"/>
    <n v="96.666664123535199"/>
    <n v="96.190475463867202"/>
    <n v="96.226417541503906"/>
    <n v="96.698112487792997"/>
    <n v="97.619049072265597"/>
  </r>
  <r>
    <x v="71"/>
    <s v="LUX"/>
    <x v="12"/>
    <s v="per_sa_allsa.cov_pop_tot"/>
    <m/>
    <m/>
    <m/>
    <m/>
    <m/>
    <n v="0"/>
  </r>
  <r>
    <x v="71"/>
    <s v="LUX"/>
    <x v="13"/>
    <s v="per_si_allsi.cov_q1_tot"/>
    <m/>
    <m/>
    <m/>
    <m/>
    <m/>
    <n v="0"/>
  </r>
  <r>
    <x v="71"/>
    <s v="LUX"/>
    <x v="14"/>
    <s v="SP.DYN.TO65.FE.ZS"/>
    <n v="91.139356000000006"/>
    <n v="92.227162000000007"/>
    <n v="91.897935000000004"/>
    <n v="92.554040999999998"/>
    <m/>
    <n v="92.554040999999998"/>
  </r>
  <r>
    <x v="71"/>
    <s v="LUX"/>
    <x v="15"/>
    <s v="SP.POP.TECH.RD.P6"/>
    <m/>
    <m/>
    <m/>
    <m/>
    <m/>
    <n v="0"/>
  </r>
  <r>
    <x v="71"/>
    <s v="LUX"/>
    <x v="16"/>
    <s v="IC.REG.DURS"/>
    <n v="16.5"/>
    <m/>
    <m/>
    <m/>
    <m/>
    <n v="16.5"/>
  </r>
  <r>
    <x v="72"/>
    <s v="MAC"/>
    <x v="0"/>
    <s v="FX.OWN.TOTL.ZS"/>
    <m/>
    <m/>
    <m/>
    <m/>
    <m/>
    <n v="0"/>
  </r>
  <r>
    <x v="72"/>
    <s v="MAC"/>
    <x v="1"/>
    <s v="FX.OWN.TOTL.FE.ZS"/>
    <m/>
    <m/>
    <m/>
    <m/>
    <m/>
    <n v="0"/>
  </r>
  <r>
    <x v="72"/>
    <s v="MAC"/>
    <x v="2"/>
    <s v="FX.OWN.TOTL.MA.ZS"/>
    <m/>
    <m/>
    <m/>
    <m/>
    <m/>
    <n v="0"/>
  </r>
  <r>
    <x v="72"/>
    <s v="MAC"/>
    <x v="3"/>
    <s v="FX.OWN.TOTL.40.ZS"/>
    <m/>
    <m/>
    <m/>
    <m/>
    <m/>
    <n v="0"/>
  </r>
  <r>
    <x v="72"/>
    <s v="MAC"/>
    <x v="4"/>
    <s v="FX.OWN.TOTL.YG.ZS"/>
    <m/>
    <m/>
    <m/>
    <m/>
    <m/>
    <n v="0"/>
  </r>
  <r>
    <x v="72"/>
    <s v="MAC"/>
    <x v="5"/>
    <s v="FX.OWN.TOTL.PL.ZS"/>
    <m/>
    <m/>
    <m/>
    <m/>
    <m/>
    <n v="0"/>
  </r>
  <r>
    <x v="72"/>
    <s v="MAC"/>
    <x v="6"/>
    <s v="SL.TLF.0714.WK.TM"/>
    <m/>
    <m/>
    <m/>
    <m/>
    <m/>
    <n v="0"/>
  </r>
  <r>
    <x v="72"/>
    <s v="MAC"/>
    <x v="7"/>
    <s v="IC.FRM.BRIB.ZS"/>
    <m/>
    <m/>
    <m/>
    <m/>
    <m/>
    <n v="0"/>
  </r>
  <r>
    <x v="72"/>
    <s v="MAC"/>
    <x v="8"/>
    <s v="IC.BUS.DISC.XQ"/>
    <m/>
    <m/>
    <m/>
    <m/>
    <m/>
    <n v="0"/>
  </r>
  <r>
    <x v="72"/>
    <s v="MAC"/>
    <x v="9"/>
    <s v="GC.DOD.TOTL.GD.ZS"/>
    <m/>
    <m/>
    <m/>
    <m/>
    <m/>
    <n v="0"/>
  </r>
  <r>
    <x v="72"/>
    <s v="MAC"/>
    <x v="10"/>
    <s v="SE.COM.DURS"/>
    <n v="10"/>
    <n v="10"/>
    <n v="10"/>
    <n v="10"/>
    <n v="10"/>
    <n v="10"/>
  </r>
  <r>
    <x v="72"/>
    <s v="MAC"/>
    <x v="11"/>
    <s v="CC.PER.RNK"/>
    <n v="72.857139587402301"/>
    <n v="77.619049072265597"/>
    <n v="79.047622680664105"/>
    <n v="79.716979980468807"/>
    <n v="79.245285034179702"/>
    <n v="79.716979980468807"/>
  </r>
  <r>
    <x v="72"/>
    <s v="MAC"/>
    <x v="12"/>
    <s v="per_sa_allsa.cov_pop_tot"/>
    <m/>
    <m/>
    <m/>
    <m/>
    <m/>
    <n v="0"/>
  </r>
  <r>
    <x v="72"/>
    <s v="MAC"/>
    <x v="13"/>
    <s v="per_si_allsi.cov_q1_tot"/>
    <m/>
    <m/>
    <m/>
    <m/>
    <m/>
    <n v="0"/>
  </r>
  <r>
    <x v="72"/>
    <s v="MAC"/>
    <x v="14"/>
    <s v="SP.DYN.TO65.FE.ZS"/>
    <n v="95.786131999999995"/>
    <n v="95.794194000000005"/>
    <n v="95.262365000000003"/>
    <n v="95.396242999999998"/>
    <m/>
    <n v="95.794194000000005"/>
  </r>
  <r>
    <x v="72"/>
    <s v="MAC"/>
    <x v="15"/>
    <s v="SP.POP.TECH.RD.P6"/>
    <m/>
    <m/>
    <m/>
    <m/>
    <m/>
    <n v="0"/>
  </r>
  <r>
    <x v="72"/>
    <s v="MAC"/>
    <x v="16"/>
    <s v="IC.REG.DURS"/>
    <m/>
    <m/>
    <m/>
    <m/>
    <m/>
    <n v="0"/>
  </r>
  <r>
    <x v="73"/>
    <s v="MWI"/>
    <x v="0"/>
    <s v="FX.OWN.TOTL.ZS"/>
    <m/>
    <m/>
    <n v="42.71"/>
    <m/>
    <m/>
    <n v="42.71"/>
  </r>
  <r>
    <x v="73"/>
    <s v="MWI"/>
    <x v="1"/>
    <s v="FX.OWN.TOTL.FE.ZS"/>
    <m/>
    <m/>
    <n v="38.14"/>
    <m/>
    <m/>
    <n v="38.14"/>
  </r>
  <r>
    <x v="73"/>
    <s v="MWI"/>
    <x v="2"/>
    <s v="FX.OWN.TOTL.MA.ZS"/>
    <m/>
    <m/>
    <n v="47.75"/>
    <m/>
    <m/>
    <n v="47.75"/>
  </r>
  <r>
    <x v="73"/>
    <s v="MWI"/>
    <x v="3"/>
    <s v="FX.OWN.TOTL.40.ZS"/>
    <m/>
    <m/>
    <n v="33.090000000000003"/>
    <m/>
    <m/>
    <n v="33.090000000000003"/>
  </r>
  <r>
    <x v="73"/>
    <s v="MWI"/>
    <x v="4"/>
    <s v="FX.OWN.TOTL.YG.ZS"/>
    <m/>
    <m/>
    <n v="34.79"/>
    <m/>
    <m/>
    <n v="34.79"/>
  </r>
  <r>
    <x v="73"/>
    <s v="MWI"/>
    <x v="5"/>
    <s v="FX.OWN.TOTL.PL.ZS"/>
    <m/>
    <m/>
    <n v="33.32"/>
    <m/>
    <m/>
    <n v="33.32"/>
  </r>
  <r>
    <x v="73"/>
    <s v="MWI"/>
    <x v="6"/>
    <s v="SL.TLF.0714.WK.TM"/>
    <m/>
    <m/>
    <m/>
    <m/>
    <m/>
    <n v="0"/>
  </r>
  <r>
    <x v="73"/>
    <s v="MWI"/>
    <x v="7"/>
    <s v="IC.FRM.BRIB.ZS"/>
    <m/>
    <m/>
    <m/>
    <m/>
    <m/>
    <n v="0"/>
  </r>
  <r>
    <x v="73"/>
    <s v="MWI"/>
    <x v="8"/>
    <s v="IC.BUS.DISC.XQ"/>
    <n v="4"/>
    <m/>
    <m/>
    <m/>
    <m/>
    <n v="4"/>
  </r>
  <r>
    <x v="73"/>
    <s v="MWI"/>
    <x v="9"/>
    <s v="GC.DOD.TOTL.GD.ZS"/>
    <n v="44.785631789645599"/>
    <m/>
    <m/>
    <n v="55.599211999191198"/>
    <m/>
    <n v="55.599211999191198"/>
  </r>
  <r>
    <x v="73"/>
    <s v="MWI"/>
    <x v="10"/>
    <s v="SE.COM.DURS"/>
    <n v="8"/>
    <n v="8"/>
    <n v="8"/>
    <n v="8"/>
    <n v="8"/>
    <n v="8"/>
  </r>
  <r>
    <x v="73"/>
    <s v="MWI"/>
    <x v="11"/>
    <s v="CC.PER.RNK"/>
    <n v="25.238094329833999"/>
    <n v="40"/>
    <n v="44.285713195800803"/>
    <n v="30.660377502441399"/>
    <n v="29.716981887817401"/>
    <n v="44.285713195800803"/>
  </r>
  <r>
    <x v="73"/>
    <s v="MWI"/>
    <x v="12"/>
    <s v="per_sa_allsa.cov_pop_tot"/>
    <n v="37.681762155494198"/>
    <m/>
    <m/>
    <m/>
    <m/>
    <n v="37.681762155494198"/>
  </r>
  <r>
    <x v="73"/>
    <s v="MWI"/>
    <x v="13"/>
    <s v="per_si_allsi.cov_q1_tot"/>
    <n v="0.35976837788152799"/>
    <m/>
    <m/>
    <m/>
    <m/>
    <n v="0.35976837788152799"/>
  </r>
  <r>
    <x v="73"/>
    <s v="MWI"/>
    <x v="14"/>
    <s v="SP.DYN.TO65.FE.ZS"/>
    <n v="69.241253"/>
    <n v="69.982028"/>
    <n v="67.943479999999994"/>
    <n v="70.764169999999993"/>
    <m/>
    <n v="70.764169999999993"/>
  </r>
  <r>
    <x v="73"/>
    <s v="MWI"/>
    <x v="15"/>
    <s v="SP.POP.TECH.RD.P6"/>
    <m/>
    <m/>
    <m/>
    <m/>
    <m/>
    <n v="0"/>
  </r>
  <r>
    <x v="73"/>
    <s v="MWI"/>
    <x v="16"/>
    <s v="IC.REG.DURS"/>
    <n v="37"/>
    <m/>
    <m/>
    <m/>
    <m/>
    <n v="37"/>
  </r>
  <r>
    <x v="74"/>
    <s v="MYS"/>
    <x v="0"/>
    <s v="FX.OWN.TOTL.ZS"/>
    <m/>
    <m/>
    <n v="88.37"/>
    <m/>
    <m/>
    <n v="88.37"/>
  </r>
  <r>
    <x v="74"/>
    <s v="MYS"/>
    <x v="1"/>
    <s v="FX.OWN.TOTL.FE.ZS"/>
    <m/>
    <m/>
    <n v="87.51"/>
    <m/>
    <m/>
    <n v="87.51"/>
  </r>
  <r>
    <x v="74"/>
    <s v="MYS"/>
    <x v="2"/>
    <s v="FX.OWN.TOTL.MA.ZS"/>
    <m/>
    <m/>
    <n v="89.23"/>
    <m/>
    <m/>
    <n v="89.23"/>
  </r>
  <r>
    <x v="74"/>
    <s v="MYS"/>
    <x v="3"/>
    <s v="FX.OWN.TOTL.40.ZS"/>
    <m/>
    <m/>
    <n v="82.98"/>
    <m/>
    <m/>
    <n v="82.98"/>
  </r>
  <r>
    <x v="74"/>
    <s v="MYS"/>
    <x v="4"/>
    <s v="FX.OWN.TOTL.YG.ZS"/>
    <m/>
    <m/>
    <n v="74.27"/>
    <m/>
    <m/>
    <n v="74.27"/>
  </r>
  <r>
    <x v="74"/>
    <s v="MYS"/>
    <x v="5"/>
    <s v="FX.OWN.TOTL.PL.ZS"/>
    <m/>
    <m/>
    <n v="71.67"/>
    <m/>
    <m/>
    <n v="71.67"/>
  </r>
  <r>
    <x v="74"/>
    <s v="MYS"/>
    <x v="6"/>
    <s v="SL.TLF.0714.WK.TM"/>
    <m/>
    <m/>
    <m/>
    <m/>
    <m/>
    <n v="0"/>
  </r>
  <r>
    <x v="74"/>
    <s v="MYS"/>
    <x v="7"/>
    <s v="IC.FRM.BRIB.ZS"/>
    <n v="0.4"/>
    <m/>
    <m/>
    <m/>
    <m/>
    <n v="0.4"/>
  </r>
  <r>
    <x v="74"/>
    <s v="MYS"/>
    <x v="8"/>
    <s v="IC.BUS.DISC.XQ"/>
    <n v="10"/>
    <m/>
    <m/>
    <m/>
    <m/>
    <n v="10"/>
  </r>
  <r>
    <x v="74"/>
    <s v="MYS"/>
    <x v="9"/>
    <s v="GC.DOD.TOTL.GD.ZS"/>
    <n v="52.421350211972701"/>
    <n v="62.006721508673799"/>
    <n v="63.266836673295103"/>
    <n v="60.181122506952299"/>
    <m/>
    <n v="63.266836673295103"/>
  </r>
  <r>
    <x v="74"/>
    <s v="MYS"/>
    <x v="10"/>
    <s v="SE.COM.DURS"/>
    <n v="6"/>
    <n v="6"/>
    <n v="6"/>
    <n v="6"/>
    <n v="6"/>
    <n v="6"/>
  </r>
  <r>
    <x v="74"/>
    <s v="MYS"/>
    <x v="11"/>
    <s v="CC.PER.RNK"/>
    <n v="60.952381134033203"/>
    <n v="60.476188659667997"/>
    <n v="59.047618865966797"/>
    <n v="62.264152526855497"/>
    <n v="61.792453765869098"/>
    <n v="62.264152526855497"/>
  </r>
  <r>
    <x v="74"/>
    <s v="MYS"/>
    <x v="12"/>
    <s v="per_sa_allsa.cov_pop_tot"/>
    <m/>
    <m/>
    <m/>
    <m/>
    <m/>
    <n v="0"/>
  </r>
  <r>
    <x v="74"/>
    <s v="MYS"/>
    <x v="13"/>
    <s v="per_si_allsi.cov_q1_tot"/>
    <m/>
    <m/>
    <m/>
    <m/>
    <m/>
    <n v="0"/>
  </r>
  <r>
    <x v="74"/>
    <s v="MYS"/>
    <x v="14"/>
    <s v="SP.DYN.TO65.FE.ZS"/>
    <n v="85.829278000000002"/>
    <n v="86.017691999999997"/>
    <n v="82.986099999999993"/>
    <n v="85.117692000000005"/>
    <m/>
    <n v="86.017691999999997"/>
  </r>
  <r>
    <x v="74"/>
    <s v="MYS"/>
    <x v="15"/>
    <s v="SP.POP.TECH.RD.P6"/>
    <m/>
    <m/>
    <m/>
    <m/>
    <m/>
    <n v="0"/>
  </r>
  <r>
    <x v="74"/>
    <s v="MYS"/>
    <x v="16"/>
    <s v="IC.REG.DURS"/>
    <n v="17.5"/>
    <m/>
    <m/>
    <m/>
    <m/>
    <n v="17.5"/>
  </r>
  <r>
    <x v="75"/>
    <s v="MLT"/>
    <x v="0"/>
    <s v="FX.OWN.TOTL.ZS"/>
    <m/>
    <m/>
    <n v="96.45"/>
    <m/>
    <m/>
    <n v="96.45"/>
  </r>
  <r>
    <x v="75"/>
    <s v="MLT"/>
    <x v="1"/>
    <s v="FX.OWN.TOTL.FE.ZS"/>
    <m/>
    <m/>
    <n v="95.33"/>
    <m/>
    <m/>
    <n v="95.33"/>
  </r>
  <r>
    <x v="75"/>
    <s v="MLT"/>
    <x v="2"/>
    <s v="FX.OWN.TOTL.MA.ZS"/>
    <m/>
    <m/>
    <n v="97.57"/>
    <m/>
    <m/>
    <n v="97.57"/>
  </r>
  <r>
    <x v="75"/>
    <s v="MLT"/>
    <x v="3"/>
    <s v="FX.OWN.TOTL.40.ZS"/>
    <m/>
    <m/>
    <n v="93.35"/>
    <m/>
    <m/>
    <n v="93.35"/>
  </r>
  <r>
    <x v="75"/>
    <s v="MLT"/>
    <x v="4"/>
    <s v="FX.OWN.TOTL.YG.ZS"/>
    <m/>
    <m/>
    <n v="94.44"/>
    <m/>
    <m/>
    <n v="94.44"/>
  </r>
  <r>
    <x v="75"/>
    <s v="MLT"/>
    <x v="5"/>
    <s v="FX.OWN.TOTL.PL.ZS"/>
    <m/>
    <m/>
    <n v="93.37"/>
    <m/>
    <m/>
    <n v="93.37"/>
  </r>
  <r>
    <x v="75"/>
    <s v="MLT"/>
    <x v="6"/>
    <s v="SL.TLF.0714.WK.TM"/>
    <m/>
    <m/>
    <m/>
    <m/>
    <m/>
    <n v="0"/>
  </r>
  <r>
    <x v="75"/>
    <s v="MLT"/>
    <x v="7"/>
    <s v="IC.FRM.BRIB.ZS"/>
    <n v="2.4"/>
    <m/>
    <m/>
    <m/>
    <m/>
    <n v="2.4"/>
  </r>
  <r>
    <x v="75"/>
    <s v="MLT"/>
    <x v="8"/>
    <s v="IC.BUS.DISC.XQ"/>
    <n v="3"/>
    <m/>
    <m/>
    <m/>
    <m/>
    <n v="3"/>
  </r>
  <r>
    <x v="75"/>
    <s v="MLT"/>
    <x v="9"/>
    <s v="GC.DOD.TOTL.GD.ZS"/>
    <m/>
    <m/>
    <m/>
    <m/>
    <m/>
    <n v="0"/>
  </r>
  <r>
    <x v="75"/>
    <s v="MLT"/>
    <x v="10"/>
    <s v="SE.COM.DURS"/>
    <n v="11"/>
    <n v="11"/>
    <n v="11"/>
    <n v="11"/>
    <n v="11"/>
    <n v="11"/>
  </r>
  <r>
    <x v="75"/>
    <s v="MLT"/>
    <x v="11"/>
    <s v="CC.PER.RNK"/>
    <n v="60"/>
    <n v="62.857143402099602"/>
    <n v="62.857143402099602"/>
    <n v="61.792453765869098"/>
    <n v="58.490566253662102"/>
    <n v="62.857143402099602"/>
  </r>
  <r>
    <x v="75"/>
    <s v="MLT"/>
    <x v="12"/>
    <s v="per_sa_allsa.cov_pop_tot"/>
    <m/>
    <m/>
    <m/>
    <m/>
    <m/>
    <n v="0"/>
  </r>
  <r>
    <x v="75"/>
    <s v="MLT"/>
    <x v="13"/>
    <s v="per_si_allsi.cov_q1_tot"/>
    <m/>
    <m/>
    <m/>
    <m/>
    <m/>
    <n v="0"/>
  </r>
  <r>
    <x v="75"/>
    <s v="MLT"/>
    <x v="14"/>
    <s v="SP.DYN.TO65.FE.ZS"/>
    <n v="92.636471"/>
    <n v="92.807496"/>
    <n v="92.697999999999993"/>
    <n v="92.404497000000006"/>
    <m/>
    <n v="92.807496"/>
  </r>
  <r>
    <x v="75"/>
    <s v="MLT"/>
    <x v="15"/>
    <s v="SP.POP.TECH.RD.P6"/>
    <m/>
    <m/>
    <m/>
    <m/>
    <m/>
    <n v="0"/>
  </r>
  <r>
    <x v="75"/>
    <s v="MLT"/>
    <x v="16"/>
    <s v="IC.REG.DURS"/>
    <n v="20.5"/>
    <m/>
    <m/>
    <m/>
    <m/>
    <n v="20.5"/>
  </r>
  <r>
    <x v="76"/>
    <s v="MUS"/>
    <x v="0"/>
    <s v="FX.OWN.TOTL.ZS"/>
    <m/>
    <m/>
    <n v="90.53"/>
    <m/>
    <m/>
    <n v="90.53"/>
  </r>
  <r>
    <x v="76"/>
    <s v="MUS"/>
    <x v="1"/>
    <s v="FX.OWN.TOTL.FE.ZS"/>
    <m/>
    <m/>
    <n v="89.4"/>
    <m/>
    <m/>
    <n v="89.4"/>
  </r>
  <r>
    <x v="76"/>
    <s v="MUS"/>
    <x v="2"/>
    <s v="FX.OWN.TOTL.MA.ZS"/>
    <m/>
    <m/>
    <n v="91.74"/>
    <m/>
    <m/>
    <n v="91.74"/>
  </r>
  <r>
    <x v="76"/>
    <s v="MUS"/>
    <x v="3"/>
    <s v="FX.OWN.TOTL.40.ZS"/>
    <m/>
    <m/>
    <n v="90.55"/>
    <m/>
    <m/>
    <n v="90.55"/>
  </r>
  <r>
    <x v="76"/>
    <s v="MUS"/>
    <x v="4"/>
    <s v="FX.OWN.TOTL.YG.ZS"/>
    <m/>
    <m/>
    <n v="83.62"/>
    <m/>
    <m/>
    <n v="83.62"/>
  </r>
  <r>
    <x v="76"/>
    <s v="MUS"/>
    <x v="5"/>
    <s v="FX.OWN.TOTL.PL.ZS"/>
    <m/>
    <m/>
    <n v="85.18"/>
    <m/>
    <m/>
    <n v="85.18"/>
  </r>
  <r>
    <x v="76"/>
    <s v="MUS"/>
    <x v="6"/>
    <s v="SL.TLF.0714.WK.TM"/>
    <m/>
    <m/>
    <m/>
    <m/>
    <m/>
    <n v="0"/>
  </r>
  <r>
    <x v="76"/>
    <s v="MUS"/>
    <x v="7"/>
    <s v="IC.FRM.BRIB.ZS"/>
    <m/>
    <m/>
    <m/>
    <m/>
    <n v="5.7"/>
    <n v="5.7"/>
  </r>
  <r>
    <x v="76"/>
    <s v="MUS"/>
    <x v="8"/>
    <s v="IC.BUS.DISC.XQ"/>
    <n v="7"/>
    <m/>
    <m/>
    <m/>
    <m/>
    <n v="7"/>
  </r>
  <r>
    <x v="76"/>
    <s v="MUS"/>
    <x v="9"/>
    <s v="GC.DOD.TOTL.GD.ZS"/>
    <n v="57.961660431002798"/>
    <m/>
    <m/>
    <m/>
    <m/>
    <n v="57.961660431002798"/>
  </r>
  <r>
    <x v="76"/>
    <s v="MUS"/>
    <x v="10"/>
    <s v="SE.COM.DURS"/>
    <n v="11"/>
    <n v="11"/>
    <n v="11"/>
    <n v="12"/>
    <n v="12"/>
    <n v="12"/>
  </r>
  <r>
    <x v="76"/>
    <s v="MUS"/>
    <x v="11"/>
    <s v="CC.PER.RNK"/>
    <n v="60.476188659667997"/>
    <n v="65.238098144531193"/>
    <n v="65.238098144531193"/>
    <n v="65.5660400390625"/>
    <n v="65.5660400390625"/>
    <n v="65.5660400390625"/>
  </r>
  <r>
    <x v="76"/>
    <s v="MUS"/>
    <x v="12"/>
    <s v="per_sa_allsa.cov_pop_tot"/>
    <m/>
    <m/>
    <m/>
    <m/>
    <m/>
    <n v="0"/>
  </r>
  <r>
    <x v="76"/>
    <s v="MUS"/>
    <x v="13"/>
    <s v="per_si_allsi.cov_q1_tot"/>
    <m/>
    <m/>
    <m/>
    <m/>
    <m/>
    <n v="0"/>
  </r>
  <r>
    <x v="76"/>
    <s v="MUS"/>
    <x v="14"/>
    <s v="SP.DYN.TO65.FE.ZS"/>
    <n v="83.894411000000005"/>
    <n v="85.121872999999994"/>
    <n v="82.574545000000001"/>
    <n v="83.647379000000001"/>
    <m/>
    <n v="85.121872999999994"/>
  </r>
  <r>
    <x v="76"/>
    <s v="MUS"/>
    <x v="15"/>
    <s v="SP.POP.TECH.RD.P6"/>
    <m/>
    <m/>
    <m/>
    <m/>
    <m/>
    <n v="0"/>
  </r>
  <r>
    <x v="76"/>
    <s v="MUS"/>
    <x v="16"/>
    <s v="IC.REG.DURS"/>
    <n v="4.5"/>
    <m/>
    <m/>
    <m/>
    <m/>
    <n v="4.5"/>
  </r>
  <r>
    <x v="77"/>
    <s v="MEX"/>
    <x v="0"/>
    <s v="FX.OWN.TOTL.ZS"/>
    <m/>
    <m/>
    <m/>
    <n v="48.97"/>
    <m/>
    <n v="48.97"/>
  </r>
  <r>
    <x v="77"/>
    <s v="MEX"/>
    <x v="1"/>
    <s v="FX.OWN.TOTL.FE.ZS"/>
    <m/>
    <m/>
    <m/>
    <n v="42.3"/>
    <m/>
    <n v="42.3"/>
  </r>
  <r>
    <x v="77"/>
    <s v="MEX"/>
    <x v="2"/>
    <s v="FX.OWN.TOTL.MA.ZS"/>
    <m/>
    <m/>
    <m/>
    <n v="56.27"/>
    <m/>
    <n v="56.27"/>
  </r>
  <r>
    <x v="77"/>
    <s v="MEX"/>
    <x v="3"/>
    <s v="FX.OWN.TOTL.40.ZS"/>
    <m/>
    <m/>
    <m/>
    <n v="32.07"/>
    <m/>
    <n v="32.07"/>
  </r>
  <r>
    <x v="77"/>
    <s v="MEX"/>
    <x v="4"/>
    <s v="FX.OWN.TOTL.YG.ZS"/>
    <m/>
    <m/>
    <m/>
    <n v="50.04"/>
    <m/>
    <n v="50.04"/>
  </r>
  <r>
    <x v="77"/>
    <s v="MEX"/>
    <x v="5"/>
    <s v="FX.OWN.TOTL.PL.ZS"/>
    <m/>
    <m/>
    <m/>
    <n v="31.79"/>
    <m/>
    <n v="31.79"/>
  </r>
  <r>
    <x v="77"/>
    <s v="MEX"/>
    <x v="6"/>
    <s v="SL.TLF.0714.WK.TM"/>
    <m/>
    <m/>
    <m/>
    <m/>
    <m/>
    <n v="0"/>
  </r>
  <r>
    <x v="77"/>
    <s v="MEX"/>
    <x v="7"/>
    <s v="IC.FRM.BRIB.ZS"/>
    <m/>
    <m/>
    <m/>
    <m/>
    <n v="15.8"/>
    <n v="15.8"/>
  </r>
  <r>
    <x v="77"/>
    <s v="MEX"/>
    <x v="8"/>
    <s v="IC.BUS.DISC.XQ"/>
    <n v="8"/>
    <m/>
    <m/>
    <m/>
    <m/>
    <n v="8"/>
  </r>
  <r>
    <x v="77"/>
    <s v="MEX"/>
    <x v="9"/>
    <s v="GC.DOD.TOTL.GD.ZS"/>
    <n v="41.327394069303999"/>
    <n v="45.837346416921299"/>
    <n v="44.860955798096398"/>
    <n v="44.048172846775103"/>
    <n v="45.261391927732298"/>
    <n v="45.837346416921299"/>
  </r>
  <r>
    <x v="77"/>
    <s v="MEX"/>
    <x v="10"/>
    <s v="SE.COM.DURS"/>
    <n v="14"/>
    <n v="14"/>
    <n v="14"/>
    <n v="14"/>
    <n v="14"/>
    <n v="14"/>
  </r>
  <r>
    <x v="77"/>
    <s v="MEX"/>
    <x v="11"/>
    <s v="CC.PER.RNK"/>
    <n v="18.095237731933601"/>
    <n v="19.523809432983398"/>
    <n v="17.619047164916999"/>
    <n v="17.4528293609619"/>
    <n v="17.4528293609619"/>
    <n v="19.523809432983398"/>
  </r>
  <r>
    <x v="77"/>
    <s v="MEX"/>
    <x v="12"/>
    <s v="per_sa_allsa.cov_pop_tot"/>
    <m/>
    <n v="37.545087375243703"/>
    <m/>
    <m/>
    <m/>
    <n v="37.545087375243703"/>
  </r>
  <r>
    <x v="77"/>
    <s v="MEX"/>
    <x v="13"/>
    <s v="per_si_allsi.cov_q1_tot"/>
    <m/>
    <n v="5.2723608193918103"/>
    <m/>
    <m/>
    <m/>
    <n v="5.2723608193918103"/>
  </r>
  <r>
    <x v="77"/>
    <s v="MEX"/>
    <x v="14"/>
    <s v="SP.DYN.TO65.FE.ZS"/>
    <n v="83.960792999999995"/>
    <n v="77.421446000000003"/>
    <n v="75.964264"/>
    <n v="82.972171000000003"/>
    <m/>
    <n v="83.960792999999995"/>
  </r>
  <r>
    <x v="77"/>
    <s v="MEX"/>
    <x v="15"/>
    <s v="SP.POP.TECH.RD.P6"/>
    <m/>
    <m/>
    <m/>
    <m/>
    <m/>
    <n v="0"/>
  </r>
  <r>
    <x v="77"/>
    <s v="MEX"/>
    <x v="16"/>
    <s v="IC.REG.DURS"/>
    <n v="8.4"/>
    <m/>
    <m/>
    <m/>
    <m/>
    <n v="8.4"/>
  </r>
  <r>
    <x v="78"/>
    <s v="MDA"/>
    <x v="0"/>
    <s v="FX.OWN.TOTL.ZS"/>
    <m/>
    <m/>
    <n v="64.25"/>
    <m/>
    <m/>
    <n v="64.25"/>
  </r>
  <r>
    <x v="78"/>
    <s v="MDA"/>
    <x v="1"/>
    <s v="FX.OWN.TOTL.FE.ZS"/>
    <m/>
    <m/>
    <n v="62.92"/>
    <m/>
    <m/>
    <n v="62.92"/>
  </r>
  <r>
    <x v="78"/>
    <s v="MDA"/>
    <x v="2"/>
    <s v="FX.OWN.TOTL.MA.ZS"/>
    <m/>
    <m/>
    <n v="65.7"/>
    <m/>
    <m/>
    <n v="65.7"/>
  </r>
  <r>
    <x v="78"/>
    <s v="MDA"/>
    <x v="3"/>
    <s v="FX.OWN.TOTL.40.ZS"/>
    <m/>
    <m/>
    <n v="54.43"/>
    <m/>
    <m/>
    <n v="54.43"/>
  </r>
  <r>
    <x v="78"/>
    <s v="MDA"/>
    <x v="4"/>
    <s v="FX.OWN.TOTL.YG.ZS"/>
    <m/>
    <m/>
    <n v="63.88"/>
    <m/>
    <m/>
    <n v="63.88"/>
  </r>
  <r>
    <x v="78"/>
    <s v="MDA"/>
    <x v="5"/>
    <s v="FX.OWN.TOTL.PL.ZS"/>
    <m/>
    <m/>
    <n v="39.950000000000003"/>
    <m/>
    <m/>
    <n v="39.950000000000003"/>
  </r>
  <r>
    <x v="78"/>
    <s v="MDA"/>
    <x v="6"/>
    <s v="SL.TLF.0714.WK.TM"/>
    <m/>
    <m/>
    <m/>
    <m/>
    <m/>
    <n v="0"/>
  </r>
  <r>
    <x v="78"/>
    <s v="MDA"/>
    <x v="7"/>
    <s v="IC.FRM.BRIB.ZS"/>
    <n v="11.9"/>
    <m/>
    <m/>
    <m/>
    <m/>
    <n v="11.9"/>
  </r>
  <r>
    <x v="78"/>
    <s v="MDA"/>
    <x v="8"/>
    <s v="IC.BUS.DISC.XQ"/>
    <n v="7"/>
    <m/>
    <m/>
    <m/>
    <m/>
    <n v="7"/>
  </r>
  <r>
    <x v="78"/>
    <s v="MDA"/>
    <x v="9"/>
    <s v="GC.DOD.TOTL.GD.ZS"/>
    <n v="25.451011908104299"/>
    <n v="33.955575215779199"/>
    <n v="32.118779060005302"/>
    <n v="34.521317865394899"/>
    <m/>
    <n v="34.521317865394899"/>
  </r>
  <r>
    <x v="78"/>
    <s v="MDA"/>
    <x v="10"/>
    <s v="SE.COM.DURS"/>
    <n v="13"/>
    <n v="13"/>
    <n v="10"/>
    <n v="10"/>
    <n v="10"/>
    <n v="13"/>
  </r>
  <r>
    <x v="78"/>
    <s v="MDA"/>
    <x v="11"/>
    <s v="CC.PER.RNK"/>
    <n v="29.0476188659668"/>
    <n v="30"/>
    <n v="35.238094329833999"/>
    <n v="42.452831268310497"/>
    <n v="46.698112487792997"/>
    <n v="46.698112487792997"/>
  </r>
  <r>
    <x v="78"/>
    <s v="MDA"/>
    <x v="12"/>
    <s v="per_sa_allsa.cov_pop_tot"/>
    <m/>
    <m/>
    <m/>
    <m/>
    <m/>
    <n v="0"/>
  </r>
  <r>
    <x v="78"/>
    <s v="MDA"/>
    <x v="13"/>
    <s v="per_si_allsi.cov_q1_tot"/>
    <m/>
    <m/>
    <m/>
    <m/>
    <m/>
    <n v="0"/>
  </r>
  <r>
    <x v="78"/>
    <s v="MDA"/>
    <x v="14"/>
    <s v="SP.DYN.TO65.FE.ZS"/>
    <n v="80.172404999999998"/>
    <n v="79.423761999999996"/>
    <n v="78.640580999999997"/>
    <n v="83.539975999999996"/>
    <m/>
    <n v="83.539975999999996"/>
  </r>
  <r>
    <x v="78"/>
    <s v="MDA"/>
    <x v="15"/>
    <s v="SP.POP.TECH.RD.P6"/>
    <m/>
    <m/>
    <m/>
    <m/>
    <m/>
    <n v="0"/>
  </r>
  <r>
    <x v="78"/>
    <s v="MDA"/>
    <x v="16"/>
    <s v="IC.REG.DURS"/>
    <n v="4"/>
    <m/>
    <m/>
    <m/>
    <m/>
    <n v="4"/>
  </r>
  <r>
    <x v="79"/>
    <s v="MNG"/>
    <x v="0"/>
    <s v="FX.OWN.TOTL.ZS"/>
    <m/>
    <m/>
    <n v="98.46"/>
    <m/>
    <m/>
    <n v="98.46"/>
  </r>
  <r>
    <x v="79"/>
    <s v="MNG"/>
    <x v="1"/>
    <s v="FX.OWN.TOTL.FE.ZS"/>
    <m/>
    <m/>
    <n v="98.97"/>
    <m/>
    <m/>
    <n v="98.97"/>
  </r>
  <r>
    <x v="79"/>
    <s v="MNG"/>
    <x v="2"/>
    <s v="FX.OWN.TOTL.MA.ZS"/>
    <m/>
    <m/>
    <n v="97.89"/>
    <m/>
    <m/>
    <n v="97.89"/>
  </r>
  <r>
    <x v="79"/>
    <s v="MNG"/>
    <x v="3"/>
    <s v="FX.OWN.TOTL.40.ZS"/>
    <m/>
    <m/>
    <n v="98.29"/>
    <m/>
    <m/>
    <n v="98.29"/>
  </r>
  <r>
    <x v="79"/>
    <s v="MNG"/>
    <x v="4"/>
    <s v="FX.OWN.TOTL.YG.ZS"/>
    <m/>
    <m/>
    <n v="95.45"/>
    <m/>
    <m/>
    <n v="95.45"/>
  </r>
  <r>
    <x v="79"/>
    <s v="MNG"/>
    <x v="5"/>
    <s v="FX.OWN.TOTL.PL.ZS"/>
    <m/>
    <m/>
    <n v="96.53"/>
    <m/>
    <m/>
    <n v="96.53"/>
  </r>
  <r>
    <x v="79"/>
    <s v="MNG"/>
    <x v="6"/>
    <s v="SL.TLF.0714.WK.TM"/>
    <m/>
    <m/>
    <m/>
    <m/>
    <m/>
    <n v="0"/>
  </r>
  <r>
    <x v="79"/>
    <s v="MNG"/>
    <x v="7"/>
    <s v="IC.FRM.BRIB.ZS"/>
    <n v="24.7"/>
    <m/>
    <m/>
    <m/>
    <m/>
    <n v="24.7"/>
  </r>
  <r>
    <x v="79"/>
    <s v="MNG"/>
    <x v="8"/>
    <s v="IC.BUS.DISC.XQ"/>
    <n v="6"/>
    <m/>
    <m/>
    <m/>
    <m/>
    <n v="6"/>
  </r>
  <r>
    <x v="79"/>
    <s v="MNG"/>
    <x v="9"/>
    <s v="GC.DOD.TOTL.GD.ZS"/>
    <n v="60.844039717462103"/>
    <n v="73.936783515285796"/>
    <n v="67.571014323773497"/>
    <m/>
    <m/>
    <n v="73.936783515285796"/>
  </r>
  <r>
    <x v="79"/>
    <s v="MNG"/>
    <x v="10"/>
    <s v="SE.COM.DURS"/>
    <n v="12"/>
    <n v="12"/>
    <n v="12"/>
    <n v="12"/>
    <n v="12"/>
    <n v="12"/>
  </r>
  <r>
    <x v="79"/>
    <s v="MNG"/>
    <x v="11"/>
    <s v="CC.PER.RNK"/>
    <n v="37.142856597900398"/>
    <n v="34.285713195800803"/>
    <n v="33.333332061767599"/>
    <n v="32.547168731689503"/>
    <n v="35.377357482910199"/>
    <n v="37.142856597900398"/>
  </r>
  <r>
    <x v="79"/>
    <s v="MNG"/>
    <x v="12"/>
    <s v="per_sa_allsa.cov_pop_tot"/>
    <m/>
    <m/>
    <m/>
    <m/>
    <m/>
    <n v="0"/>
  </r>
  <r>
    <x v="79"/>
    <s v="MNG"/>
    <x v="13"/>
    <s v="per_si_allsi.cov_q1_tot"/>
    <m/>
    <m/>
    <m/>
    <m/>
    <m/>
    <n v="0"/>
  </r>
  <r>
    <x v="79"/>
    <s v="MNG"/>
    <x v="14"/>
    <s v="SP.DYN.TO65.FE.ZS"/>
    <n v="81.845723000000007"/>
    <n v="81.373446000000001"/>
    <n v="77.768332999999998"/>
    <n v="83.016925000000001"/>
    <m/>
    <n v="83.016925000000001"/>
  </r>
  <r>
    <x v="79"/>
    <s v="MNG"/>
    <x v="15"/>
    <s v="SP.POP.TECH.RD.P6"/>
    <m/>
    <m/>
    <m/>
    <m/>
    <m/>
    <n v="0"/>
  </r>
  <r>
    <x v="79"/>
    <s v="MNG"/>
    <x v="16"/>
    <s v="IC.REG.DURS"/>
    <n v="12"/>
    <m/>
    <m/>
    <m/>
    <m/>
    <n v="12"/>
  </r>
  <r>
    <x v="80"/>
    <s v="MNE"/>
    <x v="0"/>
    <s v="FX.OWN.TOTL.ZS"/>
    <m/>
    <m/>
    <m/>
    <m/>
    <m/>
    <n v="0"/>
  </r>
  <r>
    <x v="80"/>
    <s v="MNE"/>
    <x v="1"/>
    <s v="FX.OWN.TOTL.FE.ZS"/>
    <m/>
    <m/>
    <m/>
    <m/>
    <m/>
    <n v="0"/>
  </r>
  <r>
    <x v="80"/>
    <s v="MNE"/>
    <x v="2"/>
    <s v="FX.OWN.TOTL.MA.ZS"/>
    <m/>
    <m/>
    <m/>
    <m/>
    <m/>
    <n v="0"/>
  </r>
  <r>
    <x v="80"/>
    <s v="MNE"/>
    <x v="3"/>
    <s v="FX.OWN.TOTL.40.ZS"/>
    <m/>
    <m/>
    <m/>
    <m/>
    <m/>
    <n v="0"/>
  </r>
  <r>
    <x v="80"/>
    <s v="MNE"/>
    <x v="4"/>
    <s v="FX.OWN.TOTL.YG.ZS"/>
    <m/>
    <m/>
    <m/>
    <m/>
    <m/>
    <n v="0"/>
  </r>
  <r>
    <x v="80"/>
    <s v="MNE"/>
    <x v="5"/>
    <s v="FX.OWN.TOTL.PL.ZS"/>
    <m/>
    <m/>
    <m/>
    <m/>
    <m/>
    <n v="0"/>
  </r>
  <r>
    <x v="80"/>
    <s v="MNE"/>
    <x v="6"/>
    <s v="SL.TLF.0714.WK.TM"/>
    <m/>
    <m/>
    <m/>
    <m/>
    <m/>
    <n v="0"/>
  </r>
  <r>
    <x v="80"/>
    <s v="MNE"/>
    <x v="7"/>
    <s v="IC.FRM.BRIB.ZS"/>
    <n v="21.4"/>
    <m/>
    <m/>
    <m/>
    <n v="8"/>
    <n v="21.4"/>
  </r>
  <r>
    <x v="80"/>
    <s v="MNE"/>
    <x v="8"/>
    <s v="IC.BUS.DISC.XQ"/>
    <n v="5"/>
    <m/>
    <m/>
    <m/>
    <m/>
    <n v="5"/>
  </r>
  <r>
    <x v="80"/>
    <s v="MNE"/>
    <x v="9"/>
    <s v="GC.DOD.TOTL.GD.ZS"/>
    <m/>
    <m/>
    <m/>
    <m/>
    <m/>
    <n v="0"/>
  </r>
  <r>
    <x v="80"/>
    <s v="MNE"/>
    <x v="10"/>
    <s v="SE.COM.DURS"/>
    <n v="9"/>
    <n v="9"/>
    <n v="9"/>
    <n v="9"/>
    <n v="9"/>
    <n v="9"/>
  </r>
  <r>
    <x v="80"/>
    <s v="MNE"/>
    <x v="11"/>
    <s v="CC.PER.RNK"/>
    <n v="54.761905670166001"/>
    <n v="54.285713195800803"/>
    <n v="52.857143402099602"/>
    <n v="50.4716987609863"/>
    <n v="51.886791229247997"/>
    <n v="54.761905670166001"/>
  </r>
  <r>
    <x v="80"/>
    <s v="MNE"/>
    <x v="12"/>
    <s v="per_sa_allsa.cov_pop_tot"/>
    <m/>
    <m/>
    <m/>
    <m/>
    <m/>
    <n v="0"/>
  </r>
  <r>
    <x v="80"/>
    <s v="MNE"/>
    <x v="13"/>
    <s v="per_si_allsi.cov_q1_tot"/>
    <m/>
    <m/>
    <m/>
    <m/>
    <m/>
    <n v="0"/>
  </r>
  <r>
    <x v="80"/>
    <s v="MNE"/>
    <x v="14"/>
    <s v="SP.DYN.TO65.FE.ZS"/>
    <n v="88.705653999999996"/>
    <n v="86.904348999999996"/>
    <n v="85.696788999999995"/>
    <n v="87.480953999999997"/>
    <m/>
    <n v="88.705653999999996"/>
  </r>
  <r>
    <x v="80"/>
    <s v="MNE"/>
    <x v="15"/>
    <s v="SP.POP.TECH.RD.P6"/>
    <m/>
    <m/>
    <m/>
    <m/>
    <m/>
    <n v="0"/>
  </r>
  <r>
    <x v="80"/>
    <s v="MNE"/>
    <x v="16"/>
    <s v="IC.REG.DURS"/>
    <n v="12"/>
    <m/>
    <m/>
    <m/>
    <m/>
    <n v="12"/>
  </r>
  <r>
    <x v="81"/>
    <s v="MAR"/>
    <x v="0"/>
    <s v="FX.OWN.TOTL.ZS"/>
    <m/>
    <m/>
    <n v="44.37"/>
    <m/>
    <m/>
    <n v="44.37"/>
  </r>
  <r>
    <x v="81"/>
    <s v="MAR"/>
    <x v="1"/>
    <s v="FX.OWN.TOTL.FE.ZS"/>
    <m/>
    <m/>
    <n v="32.700000000000003"/>
    <m/>
    <m/>
    <n v="32.700000000000003"/>
  </r>
  <r>
    <x v="81"/>
    <s v="MAR"/>
    <x v="2"/>
    <s v="FX.OWN.TOTL.MA.ZS"/>
    <m/>
    <m/>
    <n v="55.97"/>
    <m/>
    <m/>
    <n v="55.97"/>
  </r>
  <r>
    <x v="81"/>
    <s v="MAR"/>
    <x v="3"/>
    <s v="FX.OWN.TOTL.40.ZS"/>
    <m/>
    <m/>
    <n v="33.93"/>
    <m/>
    <m/>
    <n v="33.93"/>
  </r>
  <r>
    <x v="81"/>
    <s v="MAR"/>
    <x v="4"/>
    <s v="FX.OWN.TOTL.YG.ZS"/>
    <m/>
    <m/>
    <n v="35.9"/>
    <m/>
    <m/>
    <n v="35.9"/>
  </r>
  <r>
    <x v="81"/>
    <s v="MAR"/>
    <x v="5"/>
    <s v="FX.OWN.TOTL.PL.ZS"/>
    <m/>
    <m/>
    <n v="36.909999999999997"/>
    <m/>
    <m/>
    <n v="36.909999999999997"/>
  </r>
  <r>
    <x v="81"/>
    <s v="MAR"/>
    <x v="6"/>
    <s v="SL.TLF.0714.WK.TM"/>
    <m/>
    <m/>
    <m/>
    <m/>
    <m/>
    <n v="0"/>
  </r>
  <r>
    <x v="81"/>
    <s v="MAR"/>
    <x v="7"/>
    <s v="IC.FRM.BRIB.ZS"/>
    <n v="16.899999999999999"/>
    <m/>
    <m/>
    <m/>
    <n v="29.6"/>
    <n v="29.6"/>
  </r>
  <r>
    <x v="81"/>
    <s v="MAR"/>
    <x v="8"/>
    <s v="IC.BUS.DISC.XQ"/>
    <n v="9"/>
    <m/>
    <m/>
    <m/>
    <m/>
    <n v="9"/>
  </r>
  <r>
    <x v="81"/>
    <s v="MAR"/>
    <x v="9"/>
    <s v="GC.DOD.TOTL.GD.ZS"/>
    <m/>
    <m/>
    <m/>
    <m/>
    <m/>
    <n v="0"/>
  </r>
  <r>
    <x v="81"/>
    <s v="MAR"/>
    <x v="10"/>
    <s v="SE.COM.DURS"/>
    <n v="9"/>
    <n v="9"/>
    <n v="9"/>
    <n v="9"/>
    <n v="9"/>
    <n v="9"/>
  </r>
  <r>
    <x v="81"/>
    <s v="MAR"/>
    <x v="11"/>
    <s v="CC.PER.RNK"/>
    <n v="41.4285697937012"/>
    <n v="38.5714302062988"/>
    <n v="38.5714302062988"/>
    <n v="39.622642517089801"/>
    <n v="33.018867492675803"/>
    <n v="41.4285697937012"/>
  </r>
  <r>
    <x v="81"/>
    <s v="MAR"/>
    <x v="12"/>
    <s v="per_sa_allsa.cov_pop_tot"/>
    <m/>
    <m/>
    <m/>
    <m/>
    <m/>
    <n v="0"/>
  </r>
  <r>
    <x v="81"/>
    <s v="MAR"/>
    <x v="13"/>
    <s v="per_si_allsi.cov_q1_tot"/>
    <m/>
    <m/>
    <m/>
    <m/>
    <m/>
    <n v="0"/>
  </r>
  <r>
    <x v="81"/>
    <s v="MAR"/>
    <x v="14"/>
    <s v="SP.DYN.TO65.FE.ZS"/>
    <n v="85.188441999999995"/>
    <n v="84.155030999999994"/>
    <n v="83.710012000000006"/>
    <n v="86.611350999999999"/>
    <m/>
    <n v="86.611350999999999"/>
  </r>
  <r>
    <x v="81"/>
    <s v="MAR"/>
    <x v="15"/>
    <s v="SP.POP.TECH.RD.P6"/>
    <m/>
    <m/>
    <m/>
    <m/>
    <m/>
    <n v="0"/>
  </r>
  <r>
    <x v="81"/>
    <s v="MAR"/>
    <x v="16"/>
    <s v="IC.REG.DURS"/>
    <n v="9"/>
    <m/>
    <m/>
    <m/>
    <m/>
    <n v="9"/>
  </r>
  <r>
    <x v="82"/>
    <s v="MOZ"/>
    <x v="0"/>
    <s v="FX.OWN.TOTL.ZS"/>
    <m/>
    <m/>
    <n v="49.49"/>
    <m/>
    <m/>
    <n v="49.49"/>
  </r>
  <r>
    <x v="82"/>
    <s v="MOZ"/>
    <x v="1"/>
    <s v="FX.OWN.TOTL.FE.ZS"/>
    <m/>
    <m/>
    <n v="38.69"/>
    <m/>
    <m/>
    <n v="38.69"/>
  </r>
  <r>
    <x v="82"/>
    <s v="MOZ"/>
    <x v="2"/>
    <s v="FX.OWN.TOTL.MA.ZS"/>
    <m/>
    <m/>
    <n v="61"/>
    <m/>
    <m/>
    <n v="61"/>
  </r>
  <r>
    <x v="82"/>
    <s v="MOZ"/>
    <x v="3"/>
    <s v="FX.OWN.TOTL.40.ZS"/>
    <m/>
    <m/>
    <n v="34.479999999999997"/>
    <m/>
    <m/>
    <n v="34.479999999999997"/>
  </r>
  <r>
    <x v="82"/>
    <s v="MOZ"/>
    <x v="4"/>
    <s v="FX.OWN.TOTL.YG.ZS"/>
    <m/>
    <m/>
    <n v="49.43"/>
    <m/>
    <m/>
    <n v="49.43"/>
  </r>
  <r>
    <x v="82"/>
    <s v="MOZ"/>
    <x v="5"/>
    <s v="FX.OWN.TOTL.PL.ZS"/>
    <m/>
    <m/>
    <n v="39.11"/>
    <m/>
    <m/>
    <n v="39.11"/>
  </r>
  <r>
    <x v="82"/>
    <s v="MOZ"/>
    <x v="6"/>
    <s v="SL.TLF.0714.WK.TM"/>
    <m/>
    <m/>
    <m/>
    <m/>
    <m/>
    <n v="0"/>
  </r>
  <r>
    <x v="82"/>
    <s v="MOZ"/>
    <x v="7"/>
    <s v="IC.FRM.BRIB.ZS"/>
    <m/>
    <m/>
    <m/>
    <m/>
    <m/>
    <n v="0"/>
  </r>
  <r>
    <x v="82"/>
    <s v="MOZ"/>
    <x v="8"/>
    <s v="IC.BUS.DISC.XQ"/>
    <n v="5"/>
    <m/>
    <m/>
    <m/>
    <m/>
    <n v="5"/>
  </r>
  <r>
    <x v="82"/>
    <s v="MOZ"/>
    <x v="9"/>
    <s v="GC.DOD.TOTL.GD.ZS"/>
    <n v="78.878341504757401"/>
    <n v="101.39093176388801"/>
    <n v="84.156966462191406"/>
    <n v="76.635060953673403"/>
    <m/>
    <n v="101.39093176388801"/>
  </r>
  <r>
    <x v="82"/>
    <s v="MOZ"/>
    <x v="10"/>
    <s v="SE.COM.DURS"/>
    <m/>
    <m/>
    <m/>
    <m/>
    <m/>
    <n v="0"/>
  </r>
  <r>
    <x v="82"/>
    <s v="MOZ"/>
    <x v="11"/>
    <s v="CC.PER.RNK"/>
    <n v="21.904762268066399"/>
    <n v="24.761905670166001"/>
    <n v="22.380952835083001"/>
    <n v="21.698112487793001"/>
    <n v="22.1698112487793"/>
    <n v="24.761905670166001"/>
  </r>
  <r>
    <x v="82"/>
    <s v="MOZ"/>
    <x v="12"/>
    <s v="per_sa_allsa.cov_pop_tot"/>
    <m/>
    <m/>
    <m/>
    <m/>
    <m/>
    <n v="0"/>
  </r>
  <r>
    <x v="82"/>
    <s v="MOZ"/>
    <x v="13"/>
    <s v="per_si_allsi.cov_q1_tot"/>
    <m/>
    <m/>
    <m/>
    <m/>
    <m/>
    <n v="0"/>
  </r>
  <r>
    <x v="82"/>
    <s v="MOZ"/>
    <x v="14"/>
    <s v="SP.DYN.TO65.FE.ZS"/>
    <n v="63.510173000000002"/>
    <n v="64.175445999999994"/>
    <n v="61.318165999999998"/>
    <n v="68.419985999999994"/>
    <m/>
    <n v="68.419985999999994"/>
  </r>
  <r>
    <x v="82"/>
    <s v="MOZ"/>
    <x v="15"/>
    <s v="SP.POP.TECH.RD.P6"/>
    <m/>
    <m/>
    <m/>
    <m/>
    <m/>
    <n v="0"/>
  </r>
  <r>
    <x v="82"/>
    <s v="MOZ"/>
    <x v="16"/>
    <s v="IC.REG.DURS"/>
    <n v="17"/>
    <m/>
    <m/>
    <m/>
    <m/>
    <n v="17"/>
  </r>
  <r>
    <x v="83"/>
    <s v="MMR"/>
    <x v="0"/>
    <s v="FX.OWN.TOTL.ZS"/>
    <m/>
    <m/>
    <n v="47.79"/>
    <m/>
    <m/>
    <n v="47.79"/>
  </r>
  <r>
    <x v="83"/>
    <s v="MMR"/>
    <x v="1"/>
    <s v="FX.OWN.TOTL.FE.ZS"/>
    <m/>
    <m/>
    <n v="46.15"/>
    <m/>
    <m/>
    <n v="46.15"/>
  </r>
  <r>
    <x v="83"/>
    <s v="MMR"/>
    <x v="2"/>
    <s v="FX.OWN.TOTL.MA.ZS"/>
    <m/>
    <m/>
    <n v="49.52"/>
    <m/>
    <m/>
    <n v="49.52"/>
  </r>
  <r>
    <x v="83"/>
    <s v="MMR"/>
    <x v="3"/>
    <s v="FX.OWN.TOTL.40.ZS"/>
    <m/>
    <m/>
    <n v="32.99"/>
    <m/>
    <m/>
    <n v="32.99"/>
  </r>
  <r>
    <x v="83"/>
    <s v="MMR"/>
    <x v="4"/>
    <s v="FX.OWN.TOTL.YG.ZS"/>
    <m/>
    <m/>
    <n v="55.68"/>
    <m/>
    <m/>
    <n v="55.68"/>
  </r>
  <r>
    <x v="83"/>
    <s v="MMR"/>
    <x v="5"/>
    <s v="FX.OWN.TOTL.PL.ZS"/>
    <m/>
    <m/>
    <n v="26.25"/>
    <m/>
    <m/>
    <n v="26.25"/>
  </r>
  <r>
    <x v="83"/>
    <s v="MMR"/>
    <x v="6"/>
    <s v="SL.TLF.0714.WK.TM"/>
    <m/>
    <m/>
    <m/>
    <m/>
    <m/>
    <n v="0"/>
  </r>
  <r>
    <x v="83"/>
    <s v="MMR"/>
    <x v="7"/>
    <s v="IC.FRM.BRIB.ZS"/>
    <m/>
    <m/>
    <m/>
    <m/>
    <m/>
    <n v="0"/>
  </r>
  <r>
    <x v="83"/>
    <s v="MMR"/>
    <x v="8"/>
    <s v="IC.BUS.DISC.XQ"/>
    <n v="4"/>
    <m/>
    <m/>
    <m/>
    <m/>
    <n v="4"/>
  </r>
  <r>
    <x v="83"/>
    <s v="MMR"/>
    <x v="9"/>
    <s v="GC.DOD.TOTL.GD.ZS"/>
    <m/>
    <m/>
    <m/>
    <m/>
    <m/>
    <n v="0"/>
  </r>
  <r>
    <x v="83"/>
    <s v="MMR"/>
    <x v="10"/>
    <s v="SE.COM.DURS"/>
    <n v="5"/>
    <n v="5"/>
    <n v="5"/>
    <n v="5"/>
    <n v="5"/>
    <n v="5"/>
  </r>
  <r>
    <x v="83"/>
    <s v="MMR"/>
    <x v="11"/>
    <s v="CC.PER.RNK"/>
    <n v="30"/>
    <n v="27.142856597900401"/>
    <n v="15.714285850524901"/>
    <n v="12.7358493804932"/>
    <n v="11.792452812194799"/>
    <n v="30"/>
  </r>
  <r>
    <x v="83"/>
    <s v="MMR"/>
    <x v="12"/>
    <s v="per_sa_allsa.cov_pop_tot"/>
    <m/>
    <m/>
    <m/>
    <m/>
    <m/>
    <n v="0"/>
  </r>
  <r>
    <x v="83"/>
    <s v="MMR"/>
    <x v="13"/>
    <s v="per_si_allsi.cov_q1_tot"/>
    <m/>
    <m/>
    <m/>
    <m/>
    <m/>
    <n v="0"/>
  </r>
  <r>
    <x v="83"/>
    <s v="MMR"/>
    <x v="14"/>
    <s v="SP.DYN.TO65.FE.ZS"/>
    <n v="73.603066999999996"/>
    <n v="73.788591999999994"/>
    <n v="71.746903000000003"/>
    <n v="74.308790000000002"/>
    <m/>
    <n v="74.308790000000002"/>
  </r>
  <r>
    <x v="83"/>
    <s v="MMR"/>
    <x v="15"/>
    <s v="SP.POP.TECH.RD.P6"/>
    <m/>
    <m/>
    <m/>
    <m/>
    <m/>
    <n v="0"/>
  </r>
  <r>
    <x v="83"/>
    <s v="MMR"/>
    <x v="16"/>
    <s v="IC.REG.DURS"/>
    <n v="7"/>
    <m/>
    <m/>
    <m/>
    <m/>
    <n v="7"/>
  </r>
  <r>
    <x v="84"/>
    <s v="NAM"/>
    <x v="0"/>
    <s v="FX.OWN.TOTL.ZS"/>
    <m/>
    <m/>
    <n v="71.349999999999994"/>
    <m/>
    <m/>
    <n v="71.349999999999994"/>
  </r>
  <r>
    <x v="84"/>
    <s v="NAM"/>
    <x v="1"/>
    <s v="FX.OWN.TOTL.FE.ZS"/>
    <m/>
    <m/>
    <n v="69.31"/>
    <m/>
    <m/>
    <n v="69.31"/>
  </r>
  <r>
    <x v="84"/>
    <s v="NAM"/>
    <x v="2"/>
    <s v="FX.OWN.TOTL.MA.ZS"/>
    <m/>
    <m/>
    <n v="73.67"/>
    <m/>
    <m/>
    <n v="73.67"/>
  </r>
  <r>
    <x v="84"/>
    <s v="NAM"/>
    <x v="3"/>
    <s v="FX.OWN.TOTL.40.ZS"/>
    <m/>
    <m/>
    <n v="56.38"/>
    <m/>
    <m/>
    <n v="56.38"/>
  </r>
  <r>
    <x v="84"/>
    <s v="NAM"/>
    <x v="4"/>
    <s v="FX.OWN.TOTL.YG.ZS"/>
    <m/>
    <m/>
    <n v="55.61"/>
    <m/>
    <m/>
    <n v="55.61"/>
  </r>
  <r>
    <x v="84"/>
    <s v="NAM"/>
    <x v="5"/>
    <s v="FX.OWN.TOTL.PL.ZS"/>
    <m/>
    <m/>
    <n v="61.29"/>
    <m/>
    <m/>
    <n v="61.29"/>
  </r>
  <r>
    <x v="84"/>
    <s v="NAM"/>
    <x v="6"/>
    <s v="SL.TLF.0714.WK.TM"/>
    <m/>
    <m/>
    <m/>
    <m/>
    <m/>
    <n v="0"/>
  </r>
  <r>
    <x v="84"/>
    <s v="NAM"/>
    <x v="7"/>
    <s v="IC.FRM.BRIB.ZS"/>
    <m/>
    <m/>
    <m/>
    <m/>
    <m/>
    <n v="0"/>
  </r>
  <r>
    <x v="84"/>
    <s v="NAM"/>
    <x v="8"/>
    <s v="IC.BUS.DISC.XQ"/>
    <n v="5"/>
    <m/>
    <m/>
    <m/>
    <m/>
    <n v="5"/>
  </r>
  <r>
    <x v="84"/>
    <s v="NAM"/>
    <x v="9"/>
    <s v="GC.DOD.TOTL.GD.ZS"/>
    <m/>
    <m/>
    <m/>
    <m/>
    <m/>
    <n v="0"/>
  </r>
  <r>
    <x v="84"/>
    <s v="NAM"/>
    <x v="10"/>
    <s v="SE.COM.DURS"/>
    <n v="7"/>
    <n v="7"/>
    <n v="7"/>
    <n v="7"/>
    <n v="7"/>
    <n v="7"/>
  </r>
  <r>
    <x v="84"/>
    <s v="NAM"/>
    <x v="11"/>
    <s v="CC.PER.RNK"/>
    <n v="62.857143402099602"/>
    <n v="61.904762268066399"/>
    <n v="60.476188659667997"/>
    <n v="60.849056243896499"/>
    <n v="58.962265014648402"/>
    <n v="62.857143402099602"/>
  </r>
  <r>
    <x v="84"/>
    <s v="NAM"/>
    <x v="12"/>
    <s v="per_sa_allsa.cov_pop_tot"/>
    <m/>
    <m/>
    <m/>
    <m/>
    <m/>
    <n v="0"/>
  </r>
  <r>
    <x v="84"/>
    <s v="NAM"/>
    <x v="13"/>
    <s v="per_si_allsi.cov_q1_tot"/>
    <m/>
    <m/>
    <m/>
    <m/>
    <m/>
    <n v="0"/>
  </r>
  <r>
    <x v="84"/>
    <s v="NAM"/>
    <x v="14"/>
    <s v="SP.DYN.TO65.FE.ZS"/>
    <n v="64.030135000000001"/>
    <n v="65.669756000000007"/>
    <n v="57.780428999999998"/>
    <n v="65.976025000000007"/>
    <m/>
    <n v="65.976025000000007"/>
  </r>
  <r>
    <x v="84"/>
    <s v="NAM"/>
    <x v="15"/>
    <s v="SP.POP.TECH.RD.P6"/>
    <m/>
    <m/>
    <m/>
    <m/>
    <m/>
    <n v="0"/>
  </r>
  <r>
    <x v="84"/>
    <s v="NAM"/>
    <x v="16"/>
    <s v="IC.REG.DURS"/>
    <n v="54"/>
    <m/>
    <m/>
    <m/>
    <m/>
    <n v="54"/>
  </r>
  <r>
    <x v="85"/>
    <s v="NPL"/>
    <x v="0"/>
    <s v="FX.OWN.TOTL.ZS"/>
    <m/>
    <m/>
    <n v="54"/>
    <m/>
    <m/>
    <n v="54"/>
  </r>
  <r>
    <x v="85"/>
    <s v="NPL"/>
    <x v="1"/>
    <s v="FX.OWN.TOTL.FE.ZS"/>
    <m/>
    <m/>
    <n v="49.9"/>
    <m/>
    <m/>
    <n v="49.9"/>
  </r>
  <r>
    <x v="85"/>
    <s v="NPL"/>
    <x v="2"/>
    <s v="FX.OWN.TOTL.MA.ZS"/>
    <m/>
    <m/>
    <n v="58.61"/>
    <m/>
    <m/>
    <n v="58.61"/>
  </r>
  <r>
    <x v="85"/>
    <s v="NPL"/>
    <x v="3"/>
    <s v="FX.OWN.TOTL.40.ZS"/>
    <m/>
    <m/>
    <n v="44.55"/>
    <m/>
    <m/>
    <n v="44.55"/>
  </r>
  <r>
    <x v="85"/>
    <s v="NPL"/>
    <x v="4"/>
    <s v="FX.OWN.TOTL.YG.ZS"/>
    <m/>
    <m/>
    <n v="42.23"/>
    <m/>
    <m/>
    <n v="42.23"/>
  </r>
  <r>
    <x v="85"/>
    <s v="NPL"/>
    <x v="5"/>
    <s v="FX.OWN.TOTL.PL.ZS"/>
    <m/>
    <m/>
    <n v="51"/>
    <m/>
    <m/>
    <n v="51"/>
  </r>
  <r>
    <x v="85"/>
    <s v="NPL"/>
    <x v="6"/>
    <s v="SL.TLF.0714.WK.TM"/>
    <m/>
    <m/>
    <m/>
    <m/>
    <m/>
    <n v="0"/>
  </r>
  <r>
    <x v="85"/>
    <s v="NPL"/>
    <x v="7"/>
    <s v="IC.FRM.BRIB.ZS"/>
    <m/>
    <m/>
    <m/>
    <m/>
    <n v="6.2"/>
    <n v="6.2"/>
  </r>
  <r>
    <x v="85"/>
    <s v="NPL"/>
    <x v="8"/>
    <s v="IC.BUS.DISC.XQ"/>
    <n v="6"/>
    <m/>
    <m/>
    <m/>
    <m/>
    <n v="6"/>
  </r>
  <r>
    <x v="85"/>
    <s v="NPL"/>
    <x v="9"/>
    <s v="GC.DOD.TOTL.GD.ZS"/>
    <n v="31.7771473472895"/>
    <n v="39.048563128449302"/>
    <n v="39.9222686422289"/>
    <m/>
    <m/>
    <n v="39.9222686422289"/>
  </r>
  <r>
    <x v="85"/>
    <s v="NPL"/>
    <x v="10"/>
    <s v="SE.COM.DURS"/>
    <n v="9"/>
    <n v="9"/>
    <n v="9"/>
    <n v="9"/>
    <n v="9"/>
    <n v="9"/>
  </r>
  <r>
    <x v="85"/>
    <s v="NPL"/>
    <x v="11"/>
    <s v="CC.PER.RNK"/>
    <n v="27.142856597900401"/>
    <n v="29.0476188659668"/>
    <n v="32.380950927734403"/>
    <n v="33.962265014648402"/>
    <n v="33.962265014648402"/>
    <n v="33.962265014648402"/>
  </r>
  <r>
    <x v="85"/>
    <s v="NPL"/>
    <x v="12"/>
    <s v="per_sa_allsa.cov_pop_tot"/>
    <m/>
    <m/>
    <m/>
    <m/>
    <m/>
    <n v="0"/>
  </r>
  <r>
    <x v="85"/>
    <s v="NPL"/>
    <x v="13"/>
    <s v="per_si_allsi.cov_q1_tot"/>
    <m/>
    <m/>
    <m/>
    <m/>
    <m/>
    <n v="0"/>
  </r>
  <r>
    <x v="85"/>
    <s v="NPL"/>
    <x v="14"/>
    <s v="SP.DYN.TO65.FE.ZS"/>
    <n v="75.363307000000006"/>
    <n v="75.300244000000006"/>
    <n v="73.200226999999998"/>
    <n v="76.872815000000003"/>
    <m/>
    <n v="76.872815000000003"/>
  </r>
  <r>
    <x v="85"/>
    <s v="NPL"/>
    <x v="15"/>
    <s v="SP.POP.TECH.RD.P6"/>
    <m/>
    <m/>
    <m/>
    <m/>
    <m/>
    <n v="0"/>
  </r>
  <r>
    <x v="85"/>
    <s v="NPL"/>
    <x v="16"/>
    <s v="IC.REG.DURS"/>
    <n v="22.5"/>
    <m/>
    <m/>
    <m/>
    <m/>
    <n v="22.5"/>
  </r>
  <r>
    <x v="86"/>
    <s v="NLD"/>
    <x v="0"/>
    <s v="FX.OWN.TOTL.ZS"/>
    <m/>
    <m/>
    <n v="99.73"/>
    <m/>
    <m/>
    <n v="99.73"/>
  </r>
  <r>
    <x v="86"/>
    <s v="NLD"/>
    <x v="1"/>
    <s v="FX.OWN.TOTL.FE.ZS"/>
    <m/>
    <m/>
    <n v="99.47"/>
    <m/>
    <m/>
    <n v="99.47"/>
  </r>
  <r>
    <x v="86"/>
    <s v="NLD"/>
    <x v="2"/>
    <s v="FX.OWN.TOTL.MA.ZS"/>
    <m/>
    <m/>
    <n v="100"/>
    <m/>
    <m/>
    <n v="100"/>
  </r>
  <r>
    <x v="86"/>
    <s v="NLD"/>
    <x v="3"/>
    <s v="FX.OWN.TOTL.40.ZS"/>
    <m/>
    <m/>
    <n v="99.33"/>
    <m/>
    <m/>
    <n v="99.33"/>
  </r>
  <r>
    <x v="86"/>
    <s v="NLD"/>
    <x v="4"/>
    <s v="FX.OWN.TOTL.YG.ZS"/>
    <m/>
    <m/>
    <n v="98.18"/>
    <m/>
    <m/>
    <n v="98.18"/>
  </r>
  <r>
    <x v="86"/>
    <s v="NLD"/>
    <x v="5"/>
    <s v="FX.OWN.TOTL.PL.ZS"/>
    <m/>
    <m/>
    <n v="100"/>
    <m/>
    <m/>
    <n v="100"/>
  </r>
  <r>
    <x v="86"/>
    <s v="NLD"/>
    <x v="6"/>
    <s v="SL.TLF.0714.WK.TM"/>
    <m/>
    <m/>
    <m/>
    <m/>
    <m/>
    <n v="0"/>
  </r>
  <r>
    <x v="86"/>
    <s v="NLD"/>
    <x v="7"/>
    <s v="IC.FRM.BRIB.ZS"/>
    <m/>
    <n v="0.3"/>
    <m/>
    <m/>
    <m/>
    <n v="0.3"/>
  </r>
  <r>
    <x v="86"/>
    <s v="NLD"/>
    <x v="8"/>
    <s v="IC.BUS.DISC.XQ"/>
    <n v="4"/>
    <m/>
    <m/>
    <m/>
    <m/>
    <n v="4"/>
  </r>
  <r>
    <x v="86"/>
    <s v="NLD"/>
    <x v="9"/>
    <s v="GC.DOD.TOTL.GD.ZS"/>
    <m/>
    <m/>
    <m/>
    <m/>
    <m/>
    <n v="0"/>
  </r>
  <r>
    <x v="86"/>
    <s v="NLD"/>
    <x v="10"/>
    <s v="SE.COM.DURS"/>
    <n v="13"/>
    <n v="13"/>
    <n v="13"/>
    <n v="13"/>
    <n v="13"/>
    <n v="13"/>
  </r>
  <r>
    <x v="86"/>
    <s v="NLD"/>
    <x v="11"/>
    <s v="CC.PER.RNK"/>
    <n v="95.714286804199205"/>
    <n v="96.190475463867202"/>
    <n v="97.142860412597699"/>
    <n v="96.698112487792997"/>
    <n v="96.226417541503906"/>
    <n v="97.142860412597699"/>
  </r>
  <r>
    <x v="86"/>
    <s v="NLD"/>
    <x v="12"/>
    <s v="per_sa_allsa.cov_pop_tot"/>
    <m/>
    <m/>
    <m/>
    <m/>
    <m/>
    <n v="0"/>
  </r>
  <r>
    <x v="86"/>
    <s v="NLD"/>
    <x v="13"/>
    <s v="per_si_allsi.cov_q1_tot"/>
    <m/>
    <m/>
    <m/>
    <m/>
    <m/>
    <n v="0"/>
  </r>
  <r>
    <x v="86"/>
    <s v="NLD"/>
    <x v="14"/>
    <s v="SP.DYN.TO65.FE.ZS"/>
    <n v="92.255696"/>
    <n v="92.238207000000003"/>
    <n v="91.829492000000002"/>
    <n v="92.390504000000007"/>
    <m/>
    <n v="92.390504000000007"/>
  </r>
  <r>
    <x v="86"/>
    <s v="NLD"/>
    <x v="15"/>
    <s v="SP.POP.TECH.RD.P6"/>
    <m/>
    <m/>
    <m/>
    <m/>
    <m/>
    <n v="0"/>
  </r>
  <r>
    <x v="86"/>
    <s v="NLD"/>
    <x v="16"/>
    <s v="IC.REG.DURS"/>
    <n v="3.5"/>
    <m/>
    <m/>
    <m/>
    <m/>
    <n v="3.5"/>
  </r>
  <r>
    <x v="87"/>
    <s v="NZL"/>
    <x v="0"/>
    <s v="FX.OWN.TOTL.ZS"/>
    <m/>
    <m/>
    <n v="98.75"/>
    <m/>
    <m/>
    <n v="98.75"/>
  </r>
  <r>
    <x v="87"/>
    <s v="NZL"/>
    <x v="1"/>
    <s v="FX.OWN.TOTL.FE.ZS"/>
    <m/>
    <m/>
    <n v="99.24"/>
    <m/>
    <m/>
    <n v="99.24"/>
  </r>
  <r>
    <x v="87"/>
    <s v="NZL"/>
    <x v="2"/>
    <s v="FX.OWN.TOTL.MA.ZS"/>
    <m/>
    <m/>
    <n v="98.23"/>
    <m/>
    <m/>
    <n v="98.23"/>
  </r>
  <r>
    <x v="87"/>
    <s v="NZL"/>
    <x v="3"/>
    <s v="FX.OWN.TOTL.40.ZS"/>
    <m/>
    <m/>
    <n v="96.87"/>
    <m/>
    <m/>
    <n v="96.87"/>
  </r>
  <r>
    <x v="87"/>
    <s v="NZL"/>
    <x v="4"/>
    <s v="FX.OWN.TOTL.YG.ZS"/>
    <m/>
    <m/>
    <n v="94.46"/>
    <m/>
    <m/>
    <n v="94.46"/>
  </r>
  <r>
    <x v="87"/>
    <s v="NZL"/>
    <x v="5"/>
    <s v="FX.OWN.TOTL.PL.ZS"/>
    <m/>
    <m/>
    <n v="96.53"/>
    <m/>
    <m/>
    <n v="96.53"/>
  </r>
  <r>
    <x v="87"/>
    <s v="NZL"/>
    <x v="6"/>
    <s v="SL.TLF.0714.WK.TM"/>
    <m/>
    <m/>
    <m/>
    <m/>
    <m/>
    <n v="0"/>
  </r>
  <r>
    <x v="87"/>
    <s v="NZL"/>
    <x v="7"/>
    <s v="IC.FRM.BRIB.ZS"/>
    <m/>
    <m/>
    <m/>
    <m/>
    <n v="4"/>
    <n v="4"/>
  </r>
  <r>
    <x v="87"/>
    <s v="NZL"/>
    <x v="8"/>
    <s v="IC.BUS.DISC.XQ"/>
    <n v="10"/>
    <m/>
    <m/>
    <m/>
    <m/>
    <n v="10"/>
  </r>
  <r>
    <x v="87"/>
    <s v="NZL"/>
    <x v="9"/>
    <s v="GC.DOD.TOTL.GD.ZS"/>
    <n v="32.788624932291299"/>
    <n v="46.118505939169196"/>
    <n v="51.369754769911999"/>
    <n v="54.566672234442798"/>
    <m/>
    <n v="54.566672234442798"/>
  </r>
  <r>
    <x v="87"/>
    <s v="NZL"/>
    <x v="10"/>
    <s v="SE.COM.DURS"/>
    <n v="10"/>
    <n v="10"/>
    <n v="10"/>
    <n v="10"/>
    <n v="10"/>
    <n v="10"/>
  </r>
  <r>
    <x v="87"/>
    <s v="NZL"/>
    <x v="11"/>
    <s v="CC.PER.RNK"/>
    <n v="100"/>
    <n v="98.571426391601605"/>
    <n v="99.047622680664105"/>
    <n v="99.056602478027301"/>
    <n v="98.584907531738295"/>
    <n v="100"/>
  </r>
  <r>
    <x v="87"/>
    <s v="NZL"/>
    <x v="12"/>
    <s v="per_sa_allsa.cov_pop_tot"/>
    <m/>
    <m/>
    <m/>
    <m/>
    <m/>
    <n v="0"/>
  </r>
  <r>
    <x v="87"/>
    <s v="NZL"/>
    <x v="13"/>
    <s v="per_si_allsi.cov_q1_tot"/>
    <m/>
    <m/>
    <m/>
    <m/>
    <m/>
    <n v="0"/>
  </r>
  <r>
    <x v="87"/>
    <s v="NZL"/>
    <x v="14"/>
    <s v="SP.DYN.TO65.FE.ZS"/>
    <n v="91.865620000000007"/>
    <n v="92.227997999999999"/>
    <n v="92.000596999999999"/>
    <n v="91.384398000000004"/>
    <m/>
    <n v="92.227997999999999"/>
  </r>
  <r>
    <x v="87"/>
    <s v="NZL"/>
    <x v="15"/>
    <s v="SP.POP.TECH.RD.P6"/>
    <m/>
    <m/>
    <m/>
    <m/>
    <m/>
    <n v="0"/>
  </r>
  <r>
    <x v="87"/>
    <s v="NZL"/>
    <x v="16"/>
    <s v="IC.REG.DURS"/>
    <n v="0.5"/>
    <m/>
    <m/>
    <m/>
    <m/>
    <n v="0.5"/>
  </r>
  <r>
    <x v="88"/>
    <s v="NIC"/>
    <x v="0"/>
    <s v="FX.OWN.TOTL.ZS"/>
    <m/>
    <m/>
    <n v="26.03"/>
    <m/>
    <m/>
    <n v="26.03"/>
  </r>
  <r>
    <x v="88"/>
    <s v="NIC"/>
    <x v="1"/>
    <s v="FX.OWN.TOTL.FE.ZS"/>
    <m/>
    <m/>
    <n v="21.57"/>
    <m/>
    <m/>
    <n v="21.57"/>
  </r>
  <r>
    <x v="88"/>
    <s v="NIC"/>
    <x v="2"/>
    <s v="FX.OWN.TOTL.MA.ZS"/>
    <m/>
    <m/>
    <n v="30.94"/>
    <m/>
    <m/>
    <n v="30.94"/>
  </r>
  <r>
    <x v="88"/>
    <s v="NIC"/>
    <x v="3"/>
    <s v="FX.OWN.TOTL.40.ZS"/>
    <m/>
    <m/>
    <n v="21.36"/>
    <m/>
    <m/>
    <n v="21.36"/>
  </r>
  <r>
    <x v="88"/>
    <s v="NIC"/>
    <x v="4"/>
    <s v="FX.OWN.TOTL.YG.ZS"/>
    <m/>
    <m/>
    <n v="29.56"/>
    <m/>
    <m/>
    <n v="29.56"/>
  </r>
  <r>
    <x v="88"/>
    <s v="NIC"/>
    <x v="5"/>
    <s v="FX.OWN.TOTL.PL.ZS"/>
    <m/>
    <m/>
    <n v="18.14"/>
    <m/>
    <m/>
    <n v="18.14"/>
  </r>
  <r>
    <x v="88"/>
    <s v="NIC"/>
    <x v="6"/>
    <s v="SL.TLF.0714.WK.TM"/>
    <m/>
    <m/>
    <m/>
    <m/>
    <m/>
    <n v="0"/>
  </r>
  <r>
    <x v="88"/>
    <s v="NIC"/>
    <x v="7"/>
    <s v="IC.FRM.BRIB.ZS"/>
    <m/>
    <m/>
    <m/>
    <m/>
    <m/>
    <n v="0"/>
  </r>
  <r>
    <x v="88"/>
    <s v="NIC"/>
    <x v="8"/>
    <s v="IC.BUS.DISC.XQ"/>
    <n v="1"/>
    <m/>
    <m/>
    <m/>
    <m/>
    <n v="1"/>
  </r>
  <r>
    <x v="88"/>
    <s v="NIC"/>
    <x v="9"/>
    <s v="GC.DOD.TOTL.GD.ZS"/>
    <m/>
    <m/>
    <m/>
    <m/>
    <m/>
    <n v="0"/>
  </r>
  <r>
    <x v="88"/>
    <s v="NIC"/>
    <x v="10"/>
    <s v="SE.COM.DURS"/>
    <n v="7"/>
    <n v="7"/>
    <n v="7"/>
    <n v="7"/>
    <n v="7"/>
    <n v="7"/>
  </r>
  <r>
    <x v="88"/>
    <s v="NIC"/>
    <x v="11"/>
    <s v="CC.PER.RNK"/>
    <n v="15.714285850524901"/>
    <n v="11.428571701049799"/>
    <n v="10"/>
    <n v="7.5471696853637704"/>
    <n v="7.0754718780517596"/>
    <n v="15.714285850524901"/>
  </r>
  <r>
    <x v="88"/>
    <s v="NIC"/>
    <x v="12"/>
    <s v="per_sa_allsa.cov_pop_tot"/>
    <m/>
    <m/>
    <m/>
    <m/>
    <m/>
    <n v="0"/>
  </r>
  <r>
    <x v="88"/>
    <s v="NIC"/>
    <x v="13"/>
    <s v="per_si_allsi.cov_q1_tot"/>
    <m/>
    <m/>
    <m/>
    <m/>
    <m/>
    <n v="0"/>
  </r>
  <r>
    <x v="88"/>
    <s v="NIC"/>
    <x v="14"/>
    <s v="SP.DYN.TO65.FE.ZS"/>
    <n v="82.797628000000003"/>
    <n v="79.490452000000005"/>
    <n v="77.216356000000005"/>
    <n v="83.875855999999999"/>
    <m/>
    <n v="83.875855999999999"/>
  </r>
  <r>
    <x v="88"/>
    <s v="NIC"/>
    <x v="15"/>
    <s v="SP.POP.TECH.RD.P6"/>
    <m/>
    <m/>
    <m/>
    <m/>
    <m/>
    <n v="0"/>
  </r>
  <r>
    <x v="88"/>
    <s v="NIC"/>
    <x v="16"/>
    <s v="IC.REG.DURS"/>
    <n v="14"/>
    <m/>
    <m/>
    <m/>
    <m/>
    <n v="14"/>
  </r>
  <r>
    <x v="89"/>
    <s v="NGA"/>
    <x v="0"/>
    <s v="FX.OWN.TOTL.ZS"/>
    <m/>
    <m/>
    <n v="45.32"/>
    <m/>
    <m/>
    <n v="45.32"/>
  </r>
  <r>
    <x v="89"/>
    <s v="NGA"/>
    <x v="1"/>
    <s v="FX.OWN.TOTL.FE.ZS"/>
    <m/>
    <m/>
    <n v="34.96"/>
    <m/>
    <m/>
    <n v="34.96"/>
  </r>
  <r>
    <x v="89"/>
    <s v="NGA"/>
    <x v="2"/>
    <s v="FX.OWN.TOTL.MA.ZS"/>
    <m/>
    <m/>
    <n v="55.45"/>
    <m/>
    <m/>
    <n v="55.45"/>
  </r>
  <r>
    <x v="89"/>
    <s v="NGA"/>
    <x v="3"/>
    <s v="FX.OWN.TOTL.40.ZS"/>
    <m/>
    <m/>
    <n v="32.69"/>
    <m/>
    <m/>
    <n v="32.69"/>
  </r>
  <r>
    <x v="89"/>
    <s v="NGA"/>
    <x v="4"/>
    <s v="FX.OWN.TOTL.YG.ZS"/>
    <m/>
    <m/>
    <n v="34.880000000000003"/>
    <m/>
    <m/>
    <n v="34.880000000000003"/>
  </r>
  <r>
    <x v="89"/>
    <s v="NGA"/>
    <x v="5"/>
    <s v="FX.OWN.TOTL.PL.ZS"/>
    <m/>
    <m/>
    <n v="25.8"/>
    <m/>
    <m/>
    <n v="25.8"/>
  </r>
  <r>
    <x v="89"/>
    <s v="NGA"/>
    <x v="6"/>
    <s v="SL.TLF.0714.WK.TM"/>
    <m/>
    <m/>
    <m/>
    <m/>
    <m/>
    <n v="0"/>
  </r>
  <r>
    <x v="89"/>
    <s v="NGA"/>
    <x v="7"/>
    <s v="IC.FRM.BRIB.ZS"/>
    <m/>
    <m/>
    <m/>
    <m/>
    <m/>
    <n v="0"/>
  </r>
  <r>
    <x v="89"/>
    <s v="NGA"/>
    <x v="8"/>
    <s v="IC.BUS.DISC.XQ"/>
    <n v="7"/>
    <m/>
    <m/>
    <m/>
    <m/>
    <n v="7"/>
  </r>
  <r>
    <x v="89"/>
    <s v="NGA"/>
    <x v="9"/>
    <s v="GC.DOD.TOTL.GD.ZS"/>
    <m/>
    <m/>
    <m/>
    <m/>
    <m/>
    <n v="0"/>
  </r>
  <r>
    <x v="89"/>
    <s v="NGA"/>
    <x v="10"/>
    <s v="SE.COM.DURS"/>
    <n v="9"/>
    <n v="9"/>
    <n v="9"/>
    <n v="9"/>
    <n v="9"/>
    <n v="9"/>
  </r>
  <r>
    <x v="89"/>
    <s v="NGA"/>
    <x v="11"/>
    <s v="CC.PER.RNK"/>
    <n v="12.380952835083001"/>
    <n v="13.8095235824585"/>
    <n v="14.285714149475099"/>
    <n v="13.6792449951172"/>
    <n v="16.981132507324201"/>
    <n v="16.981132507324201"/>
  </r>
  <r>
    <x v="89"/>
    <s v="NGA"/>
    <x v="12"/>
    <s v="per_sa_allsa.cov_pop_tot"/>
    <m/>
    <m/>
    <m/>
    <m/>
    <m/>
    <n v="0"/>
  </r>
  <r>
    <x v="89"/>
    <s v="NGA"/>
    <x v="13"/>
    <s v="per_si_allsi.cov_q1_tot"/>
    <m/>
    <m/>
    <m/>
    <m/>
    <m/>
    <n v="0"/>
  </r>
  <r>
    <x v="89"/>
    <s v="NGA"/>
    <x v="14"/>
    <s v="SP.DYN.TO65.FE.ZS"/>
    <n v="46.718417000000002"/>
    <n v="46.560875000000003"/>
    <n v="46.788910000000001"/>
    <n v="48.329746999999998"/>
    <m/>
    <n v="48.329746999999998"/>
  </r>
  <r>
    <x v="89"/>
    <s v="NGA"/>
    <x v="15"/>
    <s v="SP.POP.TECH.RD.P6"/>
    <m/>
    <m/>
    <m/>
    <m/>
    <m/>
    <n v="0"/>
  </r>
  <r>
    <x v="89"/>
    <s v="NGA"/>
    <x v="16"/>
    <s v="IC.REG.DURS"/>
    <n v="7.2"/>
    <m/>
    <m/>
    <m/>
    <m/>
    <n v="7.2"/>
  </r>
  <r>
    <x v="90"/>
    <s v="MKD"/>
    <x v="0"/>
    <s v="FX.OWN.TOTL.ZS"/>
    <m/>
    <m/>
    <n v="85.29"/>
    <m/>
    <m/>
    <n v="85.29"/>
  </r>
  <r>
    <x v="90"/>
    <s v="MKD"/>
    <x v="1"/>
    <s v="FX.OWN.TOTL.FE.ZS"/>
    <m/>
    <m/>
    <n v="79.91"/>
    <m/>
    <m/>
    <n v="79.91"/>
  </r>
  <r>
    <x v="90"/>
    <s v="MKD"/>
    <x v="2"/>
    <s v="FX.OWN.TOTL.MA.ZS"/>
    <m/>
    <m/>
    <n v="90.62"/>
    <m/>
    <m/>
    <n v="90.62"/>
  </r>
  <r>
    <x v="90"/>
    <s v="MKD"/>
    <x v="3"/>
    <s v="FX.OWN.TOTL.40.ZS"/>
    <m/>
    <m/>
    <n v="77.69"/>
    <m/>
    <m/>
    <n v="77.69"/>
  </r>
  <r>
    <x v="90"/>
    <s v="MKD"/>
    <x v="4"/>
    <s v="FX.OWN.TOTL.YG.ZS"/>
    <m/>
    <m/>
    <n v="74.010000000000005"/>
    <m/>
    <m/>
    <n v="74.010000000000005"/>
  </r>
  <r>
    <x v="90"/>
    <s v="MKD"/>
    <x v="5"/>
    <s v="FX.OWN.TOTL.PL.ZS"/>
    <m/>
    <m/>
    <n v="73.02"/>
    <m/>
    <m/>
    <n v="73.02"/>
  </r>
  <r>
    <x v="90"/>
    <s v="MKD"/>
    <x v="6"/>
    <s v="SL.TLF.0714.WK.TM"/>
    <m/>
    <m/>
    <m/>
    <m/>
    <m/>
    <n v="0"/>
  </r>
  <r>
    <x v="90"/>
    <s v="MKD"/>
    <x v="7"/>
    <s v="IC.FRM.BRIB.ZS"/>
    <n v="7.4"/>
    <m/>
    <m/>
    <m/>
    <n v="9.6"/>
    <n v="9.6"/>
  </r>
  <r>
    <x v="90"/>
    <s v="MKD"/>
    <x v="8"/>
    <s v="IC.BUS.DISC.XQ"/>
    <n v="10"/>
    <m/>
    <m/>
    <m/>
    <m/>
    <n v="10"/>
  </r>
  <r>
    <x v="90"/>
    <s v="MKD"/>
    <x v="9"/>
    <s v="GC.DOD.TOTL.GD.ZS"/>
    <m/>
    <m/>
    <m/>
    <m/>
    <m/>
    <n v="0"/>
  </r>
  <r>
    <x v="90"/>
    <s v="MKD"/>
    <x v="10"/>
    <s v="SE.COM.DURS"/>
    <n v="13"/>
    <n v="13"/>
    <n v="13"/>
    <n v="13"/>
    <n v="13"/>
    <n v="13"/>
  </r>
  <r>
    <x v="90"/>
    <s v="MKD"/>
    <x v="11"/>
    <s v="CC.PER.RNK"/>
    <n v="36.666667938232401"/>
    <n v="34.761905670166001"/>
    <n v="41.4285697937012"/>
    <n v="44.339622497558601"/>
    <n v="42.452831268310497"/>
    <n v="44.339622497558601"/>
  </r>
  <r>
    <x v="90"/>
    <s v="MKD"/>
    <x v="12"/>
    <s v="per_sa_allsa.cov_pop_tot"/>
    <m/>
    <m/>
    <m/>
    <m/>
    <m/>
    <n v="0"/>
  </r>
  <r>
    <x v="90"/>
    <s v="MKD"/>
    <x v="13"/>
    <s v="per_si_allsi.cov_q1_tot"/>
    <m/>
    <m/>
    <m/>
    <m/>
    <m/>
    <n v="0"/>
  </r>
  <r>
    <x v="90"/>
    <s v="MKD"/>
    <x v="14"/>
    <s v="SP.DYN.TO65.FE.ZS"/>
    <n v="88.820051000000007"/>
    <n v="85.679637"/>
    <n v="82.721362999999997"/>
    <n v="89.610557"/>
    <m/>
    <n v="89.610557"/>
  </r>
  <r>
    <x v="90"/>
    <s v="MKD"/>
    <x v="15"/>
    <s v="SP.POP.TECH.RD.P6"/>
    <m/>
    <m/>
    <m/>
    <m/>
    <m/>
    <n v="0"/>
  </r>
  <r>
    <x v="90"/>
    <s v="MKD"/>
    <x v="16"/>
    <s v="IC.REG.DURS"/>
    <n v="15"/>
    <m/>
    <m/>
    <m/>
    <m/>
    <n v="15"/>
  </r>
  <r>
    <x v="91"/>
    <s v="NOR"/>
    <x v="0"/>
    <s v="FX.OWN.TOTL.ZS"/>
    <m/>
    <m/>
    <n v="99.48"/>
    <m/>
    <m/>
    <n v="99.48"/>
  </r>
  <r>
    <x v="91"/>
    <s v="NOR"/>
    <x v="1"/>
    <s v="FX.OWN.TOTL.FE.ZS"/>
    <m/>
    <m/>
    <n v="100"/>
    <m/>
    <m/>
    <n v="100"/>
  </r>
  <r>
    <x v="91"/>
    <s v="NOR"/>
    <x v="2"/>
    <s v="FX.OWN.TOTL.MA.ZS"/>
    <m/>
    <m/>
    <n v="98.98"/>
    <m/>
    <m/>
    <n v="98.98"/>
  </r>
  <r>
    <x v="91"/>
    <s v="NOR"/>
    <x v="3"/>
    <s v="FX.OWN.TOTL.40.ZS"/>
    <m/>
    <m/>
    <n v="98.68"/>
    <m/>
    <m/>
    <n v="98.68"/>
  </r>
  <r>
    <x v="91"/>
    <s v="NOR"/>
    <x v="4"/>
    <s v="FX.OWN.TOTL.YG.ZS"/>
    <m/>
    <m/>
    <n v="96.37"/>
    <m/>
    <m/>
    <n v="96.37"/>
  </r>
  <r>
    <x v="91"/>
    <s v="NOR"/>
    <x v="5"/>
    <s v="FX.OWN.TOTL.PL.ZS"/>
    <m/>
    <m/>
    <n v="97.65"/>
    <m/>
    <m/>
    <n v="97.65"/>
  </r>
  <r>
    <x v="91"/>
    <s v="NOR"/>
    <x v="6"/>
    <s v="SL.TLF.0714.WK.TM"/>
    <m/>
    <m/>
    <m/>
    <m/>
    <m/>
    <n v="0"/>
  </r>
  <r>
    <x v="91"/>
    <s v="NOR"/>
    <x v="7"/>
    <s v="IC.FRM.BRIB.ZS"/>
    <m/>
    <m/>
    <m/>
    <m/>
    <m/>
    <n v="0"/>
  </r>
  <r>
    <x v="91"/>
    <s v="NOR"/>
    <x v="8"/>
    <s v="IC.BUS.DISC.XQ"/>
    <n v="7"/>
    <m/>
    <m/>
    <m/>
    <m/>
    <n v="7"/>
  </r>
  <r>
    <x v="91"/>
    <s v="NOR"/>
    <x v="9"/>
    <s v="GC.DOD.TOTL.GD.ZS"/>
    <m/>
    <m/>
    <m/>
    <m/>
    <m/>
    <n v="0"/>
  </r>
  <r>
    <x v="91"/>
    <s v="NOR"/>
    <x v="10"/>
    <s v="SE.COM.DURS"/>
    <n v="10"/>
    <n v="10"/>
    <n v="10"/>
    <n v="10"/>
    <n v="10"/>
    <n v="10"/>
  </r>
  <r>
    <x v="91"/>
    <s v="NOR"/>
    <x v="11"/>
    <s v="CC.PER.RNK"/>
    <n v="97.142860412597699"/>
    <n v="97.619049072265597"/>
    <n v="98.095237731933594"/>
    <n v="98.113204956054702"/>
    <n v="99.056602478027301"/>
    <n v="99.056602478027301"/>
  </r>
  <r>
    <x v="91"/>
    <s v="NOR"/>
    <x v="12"/>
    <s v="per_sa_allsa.cov_pop_tot"/>
    <m/>
    <m/>
    <m/>
    <m/>
    <m/>
    <n v="0"/>
  </r>
  <r>
    <x v="91"/>
    <s v="NOR"/>
    <x v="13"/>
    <s v="per_si_allsi.cov_q1_tot"/>
    <m/>
    <m/>
    <m/>
    <m/>
    <m/>
    <n v="0"/>
  </r>
  <r>
    <x v="91"/>
    <s v="NOR"/>
    <x v="14"/>
    <s v="SP.DYN.TO65.FE.ZS"/>
    <n v="93.718957000000003"/>
    <n v="93.846526999999995"/>
    <n v="93.937117000000001"/>
    <n v="93.719471999999996"/>
    <m/>
    <n v="93.937117000000001"/>
  </r>
  <r>
    <x v="91"/>
    <s v="NOR"/>
    <x v="15"/>
    <s v="SP.POP.TECH.RD.P6"/>
    <m/>
    <m/>
    <m/>
    <m/>
    <m/>
    <n v="0"/>
  </r>
  <r>
    <x v="91"/>
    <s v="NOR"/>
    <x v="16"/>
    <s v="IC.REG.DURS"/>
    <n v="4"/>
    <m/>
    <m/>
    <m/>
    <m/>
    <n v="4"/>
  </r>
  <r>
    <x v="92"/>
    <s v="OMN"/>
    <x v="0"/>
    <s v="FX.OWN.TOTL.ZS"/>
    <m/>
    <m/>
    <m/>
    <m/>
    <m/>
    <n v="0"/>
  </r>
  <r>
    <x v="92"/>
    <s v="OMN"/>
    <x v="1"/>
    <s v="FX.OWN.TOTL.FE.ZS"/>
    <m/>
    <m/>
    <m/>
    <m/>
    <m/>
    <n v="0"/>
  </r>
  <r>
    <x v="92"/>
    <s v="OMN"/>
    <x v="2"/>
    <s v="FX.OWN.TOTL.MA.ZS"/>
    <m/>
    <m/>
    <m/>
    <m/>
    <m/>
    <n v="0"/>
  </r>
  <r>
    <x v="92"/>
    <s v="OMN"/>
    <x v="3"/>
    <s v="FX.OWN.TOTL.40.ZS"/>
    <m/>
    <m/>
    <m/>
    <m/>
    <m/>
    <n v="0"/>
  </r>
  <r>
    <x v="92"/>
    <s v="OMN"/>
    <x v="4"/>
    <s v="FX.OWN.TOTL.YG.ZS"/>
    <m/>
    <m/>
    <m/>
    <m/>
    <m/>
    <n v="0"/>
  </r>
  <r>
    <x v="92"/>
    <s v="OMN"/>
    <x v="5"/>
    <s v="FX.OWN.TOTL.PL.ZS"/>
    <m/>
    <m/>
    <m/>
    <m/>
    <m/>
    <n v="0"/>
  </r>
  <r>
    <x v="92"/>
    <s v="OMN"/>
    <x v="6"/>
    <s v="SL.TLF.0714.WK.TM"/>
    <m/>
    <m/>
    <m/>
    <m/>
    <m/>
    <n v="0"/>
  </r>
  <r>
    <x v="92"/>
    <s v="OMN"/>
    <x v="7"/>
    <s v="IC.FRM.BRIB.ZS"/>
    <m/>
    <m/>
    <m/>
    <m/>
    <m/>
    <n v="0"/>
  </r>
  <r>
    <x v="92"/>
    <s v="OMN"/>
    <x v="8"/>
    <s v="IC.BUS.DISC.XQ"/>
    <n v="8"/>
    <m/>
    <m/>
    <m/>
    <m/>
    <n v="8"/>
  </r>
  <r>
    <x v="92"/>
    <s v="OMN"/>
    <x v="9"/>
    <s v="GC.DOD.TOTL.GD.ZS"/>
    <m/>
    <m/>
    <m/>
    <m/>
    <m/>
    <n v="0"/>
  </r>
  <r>
    <x v="92"/>
    <s v="OMN"/>
    <x v="10"/>
    <s v="SE.COM.DURS"/>
    <n v="10"/>
    <n v="10"/>
    <n v="10"/>
    <n v="10"/>
    <n v="10"/>
    <n v="10"/>
  </r>
  <r>
    <x v="92"/>
    <s v="OMN"/>
    <x v="11"/>
    <s v="CC.PER.RNK"/>
    <n v="65.714286804199205"/>
    <n v="60"/>
    <n v="58.095237731933601"/>
    <n v="57.547168731689503"/>
    <n v="60.849056243896499"/>
    <n v="65.714286804199205"/>
  </r>
  <r>
    <x v="92"/>
    <s v="OMN"/>
    <x v="12"/>
    <s v="per_sa_allsa.cov_pop_tot"/>
    <m/>
    <m/>
    <m/>
    <m/>
    <m/>
    <n v="0"/>
  </r>
  <r>
    <x v="92"/>
    <s v="OMN"/>
    <x v="13"/>
    <s v="per_si_allsi.cov_q1_tot"/>
    <m/>
    <m/>
    <m/>
    <m/>
    <m/>
    <n v="0"/>
  </r>
  <r>
    <x v="92"/>
    <s v="OMN"/>
    <x v="14"/>
    <s v="SP.DYN.TO65.FE.ZS"/>
    <n v="91.925533999999999"/>
    <n v="89.755865"/>
    <n v="87.338891000000004"/>
    <n v="90.604862999999995"/>
    <m/>
    <n v="91.925533999999999"/>
  </r>
  <r>
    <x v="92"/>
    <s v="OMN"/>
    <x v="15"/>
    <s v="SP.POP.TECH.RD.P6"/>
    <m/>
    <m/>
    <m/>
    <m/>
    <m/>
    <n v="0"/>
  </r>
  <r>
    <x v="92"/>
    <s v="OMN"/>
    <x v="16"/>
    <s v="IC.REG.DURS"/>
    <n v="4.3"/>
    <m/>
    <m/>
    <m/>
    <m/>
    <n v="4.3"/>
  </r>
  <r>
    <x v="93"/>
    <s v="PAK"/>
    <x v="0"/>
    <s v="FX.OWN.TOTL.ZS"/>
    <m/>
    <m/>
    <n v="20.98"/>
    <m/>
    <m/>
    <n v="20.98"/>
  </r>
  <r>
    <x v="93"/>
    <s v="PAK"/>
    <x v="1"/>
    <s v="FX.OWN.TOTL.FE.ZS"/>
    <m/>
    <m/>
    <n v="13.48"/>
    <m/>
    <m/>
    <n v="13.48"/>
  </r>
  <r>
    <x v="93"/>
    <s v="PAK"/>
    <x v="2"/>
    <s v="FX.OWN.TOTL.MA.ZS"/>
    <m/>
    <m/>
    <n v="28.18"/>
    <m/>
    <m/>
    <n v="28.18"/>
  </r>
  <r>
    <x v="93"/>
    <s v="PAK"/>
    <x v="3"/>
    <s v="FX.OWN.TOTL.40.ZS"/>
    <m/>
    <m/>
    <n v="17.61"/>
    <m/>
    <m/>
    <n v="17.61"/>
  </r>
  <r>
    <x v="93"/>
    <s v="PAK"/>
    <x v="4"/>
    <s v="FX.OWN.TOTL.YG.ZS"/>
    <m/>
    <m/>
    <n v="18.100000000000001"/>
    <m/>
    <m/>
    <n v="18.100000000000001"/>
  </r>
  <r>
    <x v="93"/>
    <s v="PAK"/>
    <x v="5"/>
    <s v="FX.OWN.TOTL.PL.ZS"/>
    <m/>
    <m/>
    <n v="15.31"/>
    <m/>
    <m/>
    <n v="15.31"/>
  </r>
  <r>
    <x v="93"/>
    <s v="PAK"/>
    <x v="6"/>
    <s v="SL.TLF.0714.WK.TM"/>
    <m/>
    <m/>
    <m/>
    <m/>
    <m/>
    <n v="0"/>
  </r>
  <r>
    <x v="93"/>
    <s v="PAK"/>
    <x v="7"/>
    <s v="IC.FRM.BRIB.ZS"/>
    <m/>
    <m/>
    <m/>
    <n v="15.9"/>
    <m/>
    <n v="15.9"/>
  </r>
  <r>
    <x v="93"/>
    <s v="PAK"/>
    <x v="8"/>
    <s v="IC.BUS.DISC.XQ"/>
    <n v="6"/>
    <m/>
    <m/>
    <m/>
    <m/>
    <n v="6"/>
  </r>
  <r>
    <x v="93"/>
    <s v="PAK"/>
    <x v="9"/>
    <s v="GC.DOD.TOTL.GD.ZS"/>
    <m/>
    <m/>
    <m/>
    <m/>
    <m/>
    <n v="0"/>
  </r>
  <r>
    <x v="93"/>
    <s v="PAK"/>
    <x v="10"/>
    <s v="SE.COM.DURS"/>
    <n v="12"/>
    <n v="12"/>
    <n v="12"/>
    <n v="12"/>
    <n v="12"/>
    <n v="12"/>
  </r>
  <r>
    <x v="93"/>
    <s v="PAK"/>
    <x v="11"/>
    <s v="CC.PER.RNK"/>
    <n v="20.9523811340332"/>
    <n v="21.904762268066399"/>
    <n v="23.3333339691162"/>
    <n v="22.6415100097656"/>
    <n v="18.867923736572301"/>
    <n v="23.3333339691162"/>
  </r>
  <r>
    <x v="93"/>
    <s v="PAK"/>
    <x v="12"/>
    <s v="per_sa_allsa.cov_pop_tot"/>
    <m/>
    <m/>
    <m/>
    <m/>
    <m/>
    <n v="0"/>
  </r>
  <r>
    <x v="93"/>
    <s v="PAK"/>
    <x v="13"/>
    <s v="per_si_allsi.cov_q1_tot"/>
    <m/>
    <m/>
    <m/>
    <m/>
    <m/>
    <n v="0"/>
  </r>
  <r>
    <x v="93"/>
    <s v="PAK"/>
    <x v="14"/>
    <s v="SP.DYN.TO65.FE.ZS"/>
    <n v="74.655715000000001"/>
    <n v="72.953863999999996"/>
    <n v="72.150468000000004"/>
    <n v="75.735977000000005"/>
    <m/>
    <n v="75.735977000000005"/>
  </r>
  <r>
    <x v="93"/>
    <s v="PAK"/>
    <x v="15"/>
    <s v="SP.POP.TECH.RD.P6"/>
    <m/>
    <m/>
    <m/>
    <m/>
    <m/>
    <n v="0"/>
  </r>
  <r>
    <x v="93"/>
    <s v="PAK"/>
    <x v="16"/>
    <s v="IC.REG.DURS"/>
    <n v="16.5"/>
    <m/>
    <m/>
    <m/>
    <m/>
    <n v="16.5"/>
  </r>
  <r>
    <x v="94"/>
    <s v="PAN"/>
    <x v="0"/>
    <s v="FX.OWN.TOTL.ZS"/>
    <m/>
    <m/>
    <n v="44.97"/>
    <m/>
    <m/>
    <n v="44.97"/>
  </r>
  <r>
    <x v="94"/>
    <s v="PAN"/>
    <x v="1"/>
    <s v="FX.OWN.TOTL.FE.ZS"/>
    <m/>
    <m/>
    <n v="43.11"/>
    <m/>
    <m/>
    <n v="43.11"/>
  </r>
  <r>
    <x v="94"/>
    <s v="PAN"/>
    <x v="2"/>
    <s v="FX.OWN.TOTL.MA.ZS"/>
    <m/>
    <m/>
    <n v="46.95"/>
    <m/>
    <m/>
    <n v="46.95"/>
  </r>
  <r>
    <x v="94"/>
    <s v="PAN"/>
    <x v="3"/>
    <s v="FX.OWN.TOTL.40.ZS"/>
    <m/>
    <m/>
    <n v="32.409999999999997"/>
    <m/>
    <m/>
    <n v="32.409999999999997"/>
  </r>
  <r>
    <x v="94"/>
    <s v="PAN"/>
    <x v="4"/>
    <s v="FX.OWN.TOTL.YG.ZS"/>
    <m/>
    <m/>
    <n v="40.42"/>
    <m/>
    <m/>
    <n v="40.42"/>
  </r>
  <r>
    <x v="94"/>
    <s v="PAN"/>
    <x v="5"/>
    <s v="FX.OWN.TOTL.PL.ZS"/>
    <m/>
    <m/>
    <n v="31.22"/>
    <m/>
    <m/>
    <n v="31.22"/>
  </r>
  <r>
    <x v="94"/>
    <s v="PAN"/>
    <x v="6"/>
    <s v="SL.TLF.0714.WK.TM"/>
    <m/>
    <m/>
    <m/>
    <m/>
    <m/>
    <n v="0"/>
  </r>
  <r>
    <x v="94"/>
    <s v="PAN"/>
    <x v="7"/>
    <s v="IC.FRM.BRIB.ZS"/>
    <m/>
    <m/>
    <m/>
    <m/>
    <m/>
    <n v="0"/>
  </r>
  <r>
    <x v="94"/>
    <s v="PAN"/>
    <x v="8"/>
    <s v="IC.BUS.DISC.XQ"/>
    <n v="4"/>
    <m/>
    <m/>
    <m/>
    <m/>
    <n v="4"/>
  </r>
  <r>
    <x v="94"/>
    <s v="PAN"/>
    <x v="9"/>
    <s v="GC.DOD.TOTL.GD.ZS"/>
    <m/>
    <m/>
    <m/>
    <m/>
    <m/>
    <n v="0"/>
  </r>
  <r>
    <x v="94"/>
    <s v="PAN"/>
    <x v="10"/>
    <s v="SE.COM.DURS"/>
    <n v="11"/>
    <n v="11"/>
    <n v="11"/>
    <n v="11"/>
    <n v="11"/>
    <n v="11"/>
  </r>
  <r>
    <x v="94"/>
    <s v="PAN"/>
    <x v="11"/>
    <s v="CC.PER.RNK"/>
    <n v="30.476190567016602"/>
    <n v="30.476190567016602"/>
    <n v="30.476190567016602"/>
    <n v="28.773584365844702"/>
    <n v="28.301887512206999"/>
    <n v="30.476190567016602"/>
  </r>
  <r>
    <x v="94"/>
    <s v="PAN"/>
    <x v="12"/>
    <s v="per_sa_allsa.cov_pop_tot"/>
    <n v="66.144764134429806"/>
    <m/>
    <m/>
    <m/>
    <m/>
    <n v="66.144764134429806"/>
  </r>
  <r>
    <x v="94"/>
    <s v="PAN"/>
    <x v="13"/>
    <s v="per_si_allsi.cov_q1_tot"/>
    <n v="5.7626013866884804"/>
    <m/>
    <m/>
    <m/>
    <m/>
    <n v="5.7626013866884804"/>
  </r>
  <r>
    <x v="94"/>
    <s v="PAN"/>
    <x v="14"/>
    <s v="SP.DYN.TO65.FE.ZS"/>
    <n v="88.141756999999998"/>
    <n v="86.024574999999999"/>
    <n v="86.536243999999996"/>
    <n v="88.722151999999994"/>
    <m/>
    <n v="88.722151999999994"/>
  </r>
  <r>
    <x v="94"/>
    <s v="PAN"/>
    <x v="15"/>
    <s v="SP.POP.TECH.RD.P6"/>
    <m/>
    <m/>
    <m/>
    <m/>
    <m/>
    <n v="0"/>
  </r>
  <r>
    <x v="94"/>
    <s v="PAN"/>
    <x v="16"/>
    <s v="IC.REG.DURS"/>
    <n v="6"/>
    <m/>
    <m/>
    <m/>
    <m/>
    <n v="6"/>
  </r>
  <r>
    <x v="95"/>
    <s v="PRY"/>
    <x v="0"/>
    <s v="FX.OWN.TOTL.ZS"/>
    <m/>
    <m/>
    <n v="54.42"/>
    <m/>
    <m/>
    <n v="54.42"/>
  </r>
  <r>
    <x v="95"/>
    <s v="PRY"/>
    <x v="1"/>
    <s v="FX.OWN.TOTL.FE.ZS"/>
    <m/>
    <m/>
    <n v="55.35"/>
    <m/>
    <m/>
    <n v="55.35"/>
  </r>
  <r>
    <x v="95"/>
    <s v="PRY"/>
    <x v="2"/>
    <s v="FX.OWN.TOTL.MA.ZS"/>
    <m/>
    <m/>
    <n v="53.49"/>
    <m/>
    <m/>
    <n v="53.49"/>
  </r>
  <r>
    <x v="95"/>
    <s v="PRY"/>
    <x v="3"/>
    <s v="FX.OWN.TOTL.40.ZS"/>
    <m/>
    <m/>
    <n v="47.84"/>
    <m/>
    <m/>
    <n v="47.84"/>
  </r>
  <r>
    <x v="95"/>
    <s v="PRY"/>
    <x v="4"/>
    <s v="FX.OWN.TOTL.YG.ZS"/>
    <m/>
    <m/>
    <n v="45.54"/>
    <m/>
    <m/>
    <n v="45.54"/>
  </r>
  <r>
    <x v="95"/>
    <s v="PRY"/>
    <x v="5"/>
    <s v="FX.OWN.TOTL.PL.ZS"/>
    <m/>
    <m/>
    <n v="43.61"/>
    <m/>
    <m/>
    <n v="43.61"/>
  </r>
  <r>
    <x v="95"/>
    <s v="PRY"/>
    <x v="6"/>
    <s v="SL.TLF.0714.WK.TM"/>
    <m/>
    <m/>
    <m/>
    <m/>
    <m/>
    <n v="0"/>
  </r>
  <r>
    <x v="95"/>
    <s v="PRY"/>
    <x v="7"/>
    <s v="IC.FRM.BRIB.ZS"/>
    <m/>
    <m/>
    <m/>
    <m/>
    <n v="16.100000000000001"/>
    <n v="16.100000000000001"/>
  </r>
  <r>
    <x v="95"/>
    <s v="PRY"/>
    <x v="8"/>
    <s v="IC.BUS.DISC.XQ"/>
    <n v="6"/>
    <m/>
    <m/>
    <m/>
    <m/>
    <n v="6"/>
  </r>
  <r>
    <x v="95"/>
    <s v="PRY"/>
    <x v="9"/>
    <s v="GC.DOD.TOTL.GD.ZS"/>
    <m/>
    <m/>
    <m/>
    <m/>
    <m/>
    <n v="0"/>
  </r>
  <r>
    <x v="95"/>
    <s v="PRY"/>
    <x v="10"/>
    <s v="SE.COM.DURS"/>
    <n v="13"/>
    <n v="13"/>
    <n v="13"/>
    <n v="13"/>
    <n v="13"/>
    <n v="13"/>
  </r>
  <r>
    <x v="95"/>
    <s v="PRY"/>
    <x v="11"/>
    <s v="CC.PER.RNK"/>
    <n v="19.523809432983398"/>
    <n v="21.428571701049801"/>
    <n v="16.6666660308838"/>
    <n v="15.0943393707275"/>
    <n v="16.037734985351602"/>
    <n v="21.428571701049801"/>
  </r>
  <r>
    <x v="95"/>
    <s v="PRY"/>
    <x v="12"/>
    <s v="per_sa_allsa.cov_pop_tot"/>
    <n v="65.629513823984198"/>
    <n v="76.541349625306907"/>
    <m/>
    <m/>
    <m/>
    <n v="76.541349625306907"/>
  </r>
  <r>
    <x v="95"/>
    <s v="PRY"/>
    <x v="13"/>
    <s v="per_si_allsi.cov_q1_tot"/>
    <n v="1.0251163136083301"/>
    <n v="0.80260462085690698"/>
    <m/>
    <m/>
    <m/>
    <n v="1.0251163136083301"/>
  </r>
  <r>
    <x v="95"/>
    <s v="PRY"/>
    <x v="14"/>
    <s v="SP.DYN.TO65.FE.ZS"/>
    <n v="83.694025999999994"/>
    <n v="82.250945000000002"/>
    <n v="73.567537999999999"/>
    <n v="81.281431999999995"/>
    <m/>
    <n v="83.694025999999994"/>
  </r>
  <r>
    <x v="95"/>
    <s v="PRY"/>
    <x v="15"/>
    <s v="SP.POP.TECH.RD.P6"/>
    <m/>
    <m/>
    <m/>
    <m/>
    <m/>
    <n v="0"/>
  </r>
  <r>
    <x v="95"/>
    <s v="PRY"/>
    <x v="16"/>
    <s v="IC.REG.DURS"/>
    <n v="35"/>
    <m/>
    <m/>
    <m/>
    <m/>
    <n v="35"/>
  </r>
  <r>
    <x v="96"/>
    <s v="PER"/>
    <x v="0"/>
    <s v="FX.OWN.TOTL.ZS"/>
    <m/>
    <m/>
    <n v="57.5"/>
    <m/>
    <m/>
    <n v="57.5"/>
  </r>
  <r>
    <x v="96"/>
    <s v="PER"/>
    <x v="1"/>
    <s v="FX.OWN.TOTL.FE.ZS"/>
    <m/>
    <m/>
    <n v="53.03"/>
    <m/>
    <m/>
    <n v="53.03"/>
  </r>
  <r>
    <x v="96"/>
    <s v="PER"/>
    <x v="2"/>
    <s v="FX.OWN.TOTL.MA.ZS"/>
    <m/>
    <m/>
    <n v="62.32"/>
    <m/>
    <m/>
    <n v="62.32"/>
  </r>
  <r>
    <x v="96"/>
    <s v="PER"/>
    <x v="3"/>
    <s v="FX.OWN.TOTL.40.ZS"/>
    <m/>
    <m/>
    <n v="45.54"/>
    <m/>
    <m/>
    <n v="45.54"/>
  </r>
  <r>
    <x v="96"/>
    <s v="PER"/>
    <x v="4"/>
    <s v="FX.OWN.TOTL.YG.ZS"/>
    <m/>
    <m/>
    <n v="46.62"/>
    <m/>
    <m/>
    <n v="46.62"/>
  </r>
  <r>
    <x v="96"/>
    <s v="PER"/>
    <x v="5"/>
    <s v="FX.OWN.TOTL.PL.ZS"/>
    <m/>
    <m/>
    <n v="40.93"/>
    <m/>
    <m/>
    <n v="40.93"/>
  </r>
  <r>
    <x v="96"/>
    <s v="PER"/>
    <x v="6"/>
    <s v="SL.TLF.0714.WK.TM"/>
    <m/>
    <m/>
    <m/>
    <m/>
    <m/>
    <n v="0"/>
  </r>
  <r>
    <x v="96"/>
    <s v="PER"/>
    <x v="7"/>
    <s v="IC.FRM.BRIB.ZS"/>
    <m/>
    <m/>
    <m/>
    <m/>
    <n v="7.6"/>
    <n v="7.6"/>
  </r>
  <r>
    <x v="96"/>
    <s v="PER"/>
    <x v="8"/>
    <s v="IC.BUS.DISC.XQ"/>
    <n v="9"/>
    <m/>
    <m/>
    <m/>
    <m/>
    <n v="9"/>
  </r>
  <r>
    <x v="96"/>
    <s v="PER"/>
    <x v="9"/>
    <s v="GC.DOD.TOTL.GD.ZS"/>
    <n v="26.526605030409598"/>
    <n v="34.764915043836098"/>
    <n v="35.245253713184802"/>
    <m/>
    <m/>
    <n v="35.245253713184802"/>
  </r>
  <r>
    <x v="96"/>
    <s v="PER"/>
    <x v="10"/>
    <s v="SE.COM.DURS"/>
    <n v="14"/>
    <n v="14"/>
    <n v="14"/>
    <n v="14"/>
    <n v="14"/>
    <n v="14"/>
  </r>
  <r>
    <x v="96"/>
    <s v="PER"/>
    <x v="11"/>
    <s v="CC.PER.RNK"/>
    <n v="34.285713195800803"/>
    <n v="32.857143402099602"/>
    <n v="28.571428298950199"/>
    <n v="22.1698112487793"/>
    <n v="25.4716987609863"/>
    <n v="34.285713195800803"/>
  </r>
  <r>
    <x v="96"/>
    <s v="PER"/>
    <x v="12"/>
    <s v="per_sa_allsa.cov_pop_tot"/>
    <n v="57.837583710924498"/>
    <n v="75.034827802301905"/>
    <n v="87.481666098492795"/>
    <m/>
    <m/>
    <n v="87.481666098492795"/>
  </r>
  <r>
    <x v="96"/>
    <s v="PER"/>
    <x v="13"/>
    <s v="per_si_allsi.cov_q1_tot"/>
    <n v="0.88073438149112704"/>
    <n v="1.64309986876228"/>
    <n v="1.63791422286621"/>
    <m/>
    <m/>
    <n v="1.64309986876228"/>
  </r>
  <r>
    <x v="96"/>
    <s v="PER"/>
    <x v="14"/>
    <s v="SP.DYN.TO65.FE.ZS"/>
    <n v="84.252999000000003"/>
    <n v="82.306521000000004"/>
    <n v="77.711633000000006"/>
    <n v="85.832278000000002"/>
    <m/>
    <n v="85.832278000000002"/>
  </r>
  <r>
    <x v="96"/>
    <s v="PER"/>
    <x v="15"/>
    <s v="SP.POP.TECH.RD.P6"/>
    <m/>
    <m/>
    <m/>
    <m/>
    <m/>
    <n v="0"/>
  </r>
  <r>
    <x v="96"/>
    <s v="PER"/>
    <x v="16"/>
    <s v="IC.REG.DURS"/>
    <n v="26"/>
    <m/>
    <m/>
    <m/>
    <m/>
    <n v="26"/>
  </r>
  <r>
    <x v="97"/>
    <s v="PHL"/>
    <x v="0"/>
    <s v="FX.OWN.TOTL.ZS"/>
    <m/>
    <m/>
    <n v="51.37"/>
    <m/>
    <m/>
    <n v="51.37"/>
  </r>
  <r>
    <x v="97"/>
    <s v="PHL"/>
    <x v="1"/>
    <s v="FX.OWN.TOTL.FE.ZS"/>
    <m/>
    <m/>
    <n v="47.42"/>
    <m/>
    <m/>
    <n v="47.42"/>
  </r>
  <r>
    <x v="97"/>
    <s v="PHL"/>
    <x v="2"/>
    <s v="FX.OWN.TOTL.MA.ZS"/>
    <m/>
    <m/>
    <n v="55.59"/>
    <m/>
    <m/>
    <n v="55.59"/>
  </r>
  <r>
    <x v="97"/>
    <s v="PHL"/>
    <x v="3"/>
    <s v="FX.OWN.TOTL.40.ZS"/>
    <m/>
    <m/>
    <n v="33.99"/>
    <m/>
    <m/>
    <n v="33.99"/>
  </r>
  <r>
    <x v="97"/>
    <s v="PHL"/>
    <x v="4"/>
    <s v="FX.OWN.TOTL.YG.ZS"/>
    <m/>
    <m/>
    <n v="40.17"/>
    <m/>
    <m/>
    <n v="40.17"/>
  </r>
  <r>
    <x v="97"/>
    <s v="PHL"/>
    <x v="5"/>
    <s v="FX.OWN.TOTL.PL.ZS"/>
    <m/>
    <m/>
    <n v="32.770000000000003"/>
    <m/>
    <m/>
    <n v="32.770000000000003"/>
  </r>
  <r>
    <x v="97"/>
    <s v="PHL"/>
    <x v="6"/>
    <s v="SL.TLF.0714.WK.TM"/>
    <m/>
    <m/>
    <m/>
    <m/>
    <m/>
    <n v="0"/>
  </r>
  <r>
    <x v="97"/>
    <s v="PHL"/>
    <x v="7"/>
    <s v="IC.FRM.BRIB.ZS"/>
    <m/>
    <m/>
    <m/>
    <m/>
    <n v="8.3000000000000007"/>
    <n v="8.3000000000000007"/>
  </r>
  <r>
    <x v="97"/>
    <s v="PHL"/>
    <x v="8"/>
    <s v="IC.BUS.DISC.XQ"/>
    <n v="9"/>
    <m/>
    <m/>
    <m/>
    <m/>
    <n v="9"/>
  </r>
  <r>
    <x v="97"/>
    <s v="PHL"/>
    <x v="9"/>
    <s v="GC.DOD.TOTL.GD.ZS"/>
    <m/>
    <m/>
    <m/>
    <m/>
    <m/>
    <n v="0"/>
  </r>
  <r>
    <x v="97"/>
    <s v="PHL"/>
    <x v="10"/>
    <s v="SE.COM.DURS"/>
    <n v="13"/>
    <n v="13"/>
    <n v="13"/>
    <n v="13"/>
    <n v="13"/>
    <n v="13"/>
  </r>
  <r>
    <x v="97"/>
    <s v="PHL"/>
    <x v="11"/>
    <s v="CC.PER.RNK"/>
    <n v="30.9523811340332"/>
    <n v="33.333332061767599"/>
    <n v="33.809524536132798"/>
    <n v="33.490566253662102"/>
    <n v="32.547168731689503"/>
    <n v="33.809524536132798"/>
  </r>
  <r>
    <x v="97"/>
    <s v="PHL"/>
    <x v="12"/>
    <s v="per_sa_allsa.cov_pop_tot"/>
    <m/>
    <m/>
    <m/>
    <m/>
    <m/>
    <n v="0"/>
  </r>
  <r>
    <x v="97"/>
    <s v="PHL"/>
    <x v="13"/>
    <s v="per_si_allsi.cov_q1_tot"/>
    <m/>
    <m/>
    <m/>
    <m/>
    <m/>
    <n v="0"/>
  </r>
  <r>
    <x v="97"/>
    <s v="PHL"/>
    <x v="14"/>
    <s v="SP.DYN.TO65.FE.ZS"/>
    <n v="78.264542000000006"/>
    <n v="78.304129000000003"/>
    <n v="72.870727000000002"/>
    <n v="77.968490000000003"/>
    <m/>
    <n v="78.304129000000003"/>
  </r>
  <r>
    <x v="97"/>
    <s v="PHL"/>
    <x v="15"/>
    <s v="SP.POP.TECH.RD.P6"/>
    <m/>
    <m/>
    <m/>
    <m/>
    <m/>
    <n v="0"/>
  </r>
  <r>
    <x v="97"/>
    <s v="PHL"/>
    <x v="16"/>
    <s v="IC.REG.DURS"/>
    <n v="33"/>
    <m/>
    <m/>
    <m/>
    <m/>
    <n v="33"/>
  </r>
  <r>
    <x v="98"/>
    <s v="POL"/>
    <x v="0"/>
    <s v="FX.OWN.TOTL.ZS"/>
    <m/>
    <m/>
    <n v="95.72"/>
    <m/>
    <m/>
    <n v="95.72"/>
  </r>
  <r>
    <x v="98"/>
    <s v="POL"/>
    <x v="1"/>
    <s v="FX.OWN.TOTL.FE.ZS"/>
    <m/>
    <m/>
    <n v="95.69"/>
    <m/>
    <m/>
    <n v="95.69"/>
  </r>
  <r>
    <x v="98"/>
    <s v="POL"/>
    <x v="2"/>
    <s v="FX.OWN.TOTL.MA.ZS"/>
    <m/>
    <m/>
    <n v="95.75"/>
    <m/>
    <m/>
    <n v="95.75"/>
  </r>
  <r>
    <x v="98"/>
    <s v="POL"/>
    <x v="3"/>
    <s v="FX.OWN.TOTL.40.ZS"/>
    <m/>
    <m/>
    <n v="93.92"/>
    <m/>
    <m/>
    <n v="93.92"/>
  </r>
  <r>
    <x v="98"/>
    <s v="POL"/>
    <x v="4"/>
    <s v="FX.OWN.TOTL.YG.ZS"/>
    <m/>
    <m/>
    <n v="98.05"/>
    <m/>
    <m/>
    <n v="98.05"/>
  </r>
  <r>
    <x v="98"/>
    <s v="POL"/>
    <x v="5"/>
    <s v="FX.OWN.TOTL.PL.ZS"/>
    <m/>
    <m/>
    <n v="71.31"/>
    <m/>
    <m/>
    <n v="71.31"/>
  </r>
  <r>
    <x v="98"/>
    <s v="POL"/>
    <x v="6"/>
    <s v="SL.TLF.0714.WK.TM"/>
    <m/>
    <m/>
    <m/>
    <m/>
    <m/>
    <n v="0"/>
  </r>
  <r>
    <x v="98"/>
    <s v="POL"/>
    <x v="7"/>
    <s v="IC.FRM.BRIB.ZS"/>
    <n v="2.8"/>
    <m/>
    <m/>
    <m/>
    <m/>
    <n v="2.8"/>
  </r>
  <r>
    <x v="98"/>
    <s v="POL"/>
    <x v="8"/>
    <s v="IC.BUS.DISC.XQ"/>
    <n v="7"/>
    <m/>
    <m/>
    <m/>
    <m/>
    <n v="7"/>
  </r>
  <r>
    <x v="98"/>
    <s v="POL"/>
    <x v="9"/>
    <s v="GC.DOD.TOTL.GD.ZS"/>
    <m/>
    <m/>
    <m/>
    <m/>
    <m/>
    <n v="0"/>
  </r>
  <r>
    <x v="98"/>
    <s v="POL"/>
    <x v="10"/>
    <s v="SE.COM.DURS"/>
    <n v="10"/>
    <n v="9"/>
    <n v="9"/>
    <n v="9"/>
    <n v="9"/>
    <n v="10"/>
  </r>
  <r>
    <x v="98"/>
    <s v="POL"/>
    <x v="11"/>
    <s v="CC.PER.RNK"/>
    <n v="71.428573608398395"/>
    <n v="72.380950927734403"/>
    <n v="68.095237731933594"/>
    <n v="68.396224975585895"/>
    <n v="68.867927551269503"/>
    <n v="72.380950927734403"/>
  </r>
  <r>
    <x v="98"/>
    <s v="POL"/>
    <x v="12"/>
    <s v="per_sa_allsa.cov_pop_tot"/>
    <m/>
    <m/>
    <m/>
    <m/>
    <m/>
    <n v="0"/>
  </r>
  <r>
    <x v="98"/>
    <s v="POL"/>
    <x v="13"/>
    <s v="per_si_allsi.cov_q1_tot"/>
    <m/>
    <m/>
    <m/>
    <m/>
    <m/>
    <n v="0"/>
  </r>
  <r>
    <x v="98"/>
    <s v="POL"/>
    <x v="14"/>
    <s v="SP.DYN.TO65.FE.ZS"/>
    <n v="89.784958000000003"/>
    <n v="88.997062"/>
    <n v="87.852044000000006"/>
    <n v="89.859453999999999"/>
    <m/>
    <n v="89.859453999999999"/>
  </r>
  <r>
    <x v="98"/>
    <s v="POL"/>
    <x v="15"/>
    <s v="SP.POP.TECH.RD.P6"/>
    <m/>
    <m/>
    <m/>
    <m/>
    <m/>
    <n v="0"/>
  </r>
  <r>
    <x v="98"/>
    <s v="POL"/>
    <x v="16"/>
    <s v="IC.REG.DURS"/>
    <n v="37"/>
    <m/>
    <m/>
    <m/>
    <m/>
    <n v="37"/>
  </r>
  <r>
    <x v="99"/>
    <s v="PRT"/>
    <x v="0"/>
    <s v="FX.OWN.TOTL.ZS"/>
    <m/>
    <m/>
    <n v="92.65"/>
    <m/>
    <m/>
    <n v="92.65"/>
  </r>
  <r>
    <x v="99"/>
    <s v="PRT"/>
    <x v="1"/>
    <s v="FX.OWN.TOTL.FE.ZS"/>
    <m/>
    <m/>
    <n v="90.18"/>
    <m/>
    <m/>
    <n v="90.18"/>
  </r>
  <r>
    <x v="99"/>
    <s v="PRT"/>
    <x v="2"/>
    <s v="FX.OWN.TOTL.MA.ZS"/>
    <m/>
    <m/>
    <n v="95.37"/>
    <m/>
    <m/>
    <n v="95.37"/>
  </r>
  <r>
    <x v="99"/>
    <s v="PRT"/>
    <x v="3"/>
    <s v="FX.OWN.TOTL.40.ZS"/>
    <m/>
    <m/>
    <n v="87.62"/>
    <m/>
    <m/>
    <n v="87.62"/>
  </r>
  <r>
    <x v="99"/>
    <s v="PRT"/>
    <x v="4"/>
    <s v="FX.OWN.TOTL.YG.ZS"/>
    <m/>
    <m/>
    <n v="78.16"/>
    <m/>
    <m/>
    <n v="78.16"/>
  </r>
  <r>
    <x v="99"/>
    <s v="PRT"/>
    <x v="5"/>
    <s v="FX.OWN.TOTL.PL.ZS"/>
    <m/>
    <m/>
    <n v="89.89"/>
    <m/>
    <m/>
    <n v="89.89"/>
  </r>
  <r>
    <x v="99"/>
    <s v="PRT"/>
    <x v="6"/>
    <s v="SL.TLF.0714.WK.TM"/>
    <m/>
    <m/>
    <m/>
    <m/>
    <m/>
    <n v="0"/>
  </r>
  <r>
    <x v="99"/>
    <s v="PRT"/>
    <x v="7"/>
    <s v="IC.FRM.BRIB.ZS"/>
    <n v="0.3"/>
    <m/>
    <m/>
    <m/>
    <n v="7.7"/>
    <n v="7.7"/>
  </r>
  <r>
    <x v="99"/>
    <s v="PRT"/>
    <x v="8"/>
    <s v="IC.BUS.DISC.XQ"/>
    <n v="6"/>
    <m/>
    <m/>
    <m/>
    <m/>
    <n v="6"/>
  </r>
  <r>
    <x v="99"/>
    <s v="PRT"/>
    <x v="9"/>
    <s v="GC.DOD.TOTL.GD.ZS"/>
    <m/>
    <m/>
    <m/>
    <m/>
    <m/>
    <n v="0"/>
  </r>
  <r>
    <x v="99"/>
    <s v="PRT"/>
    <x v="10"/>
    <s v="SE.COM.DURS"/>
    <n v="12"/>
    <n v="12"/>
    <n v="12"/>
    <n v="12"/>
    <n v="12"/>
    <n v="12"/>
  </r>
  <r>
    <x v="99"/>
    <s v="PRT"/>
    <x v="11"/>
    <s v="CC.PER.RNK"/>
    <n v="76.666664123535199"/>
    <n v="76.666664123535199"/>
    <n v="77.142860412597699"/>
    <n v="75.943397521972699"/>
    <n v="74.056602478027301"/>
    <n v="77.142860412597699"/>
  </r>
  <r>
    <x v="99"/>
    <s v="PRT"/>
    <x v="12"/>
    <s v="per_sa_allsa.cov_pop_tot"/>
    <m/>
    <m/>
    <m/>
    <m/>
    <m/>
    <n v="0"/>
  </r>
  <r>
    <x v="99"/>
    <s v="PRT"/>
    <x v="13"/>
    <s v="per_si_allsi.cov_q1_tot"/>
    <m/>
    <m/>
    <m/>
    <m/>
    <m/>
    <n v="0"/>
  </r>
  <r>
    <x v="99"/>
    <s v="PRT"/>
    <x v="14"/>
    <s v="SP.DYN.TO65.FE.ZS"/>
    <n v="93.160381000000001"/>
    <n v="93.113767999999993"/>
    <n v="92.918429000000003"/>
    <n v="92.678246000000001"/>
    <m/>
    <n v="93.160381000000001"/>
  </r>
  <r>
    <x v="99"/>
    <s v="PRT"/>
    <x v="15"/>
    <s v="SP.POP.TECH.RD.P6"/>
    <m/>
    <m/>
    <m/>
    <m/>
    <m/>
    <n v="0"/>
  </r>
  <r>
    <x v="99"/>
    <s v="PRT"/>
    <x v="16"/>
    <s v="IC.REG.DURS"/>
    <n v="6.5"/>
    <m/>
    <m/>
    <m/>
    <m/>
    <n v="6.5"/>
  </r>
  <r>
    <x v="100"/>
    <s v="QAT"/>
    <x v="0"/>
    <s v="FX.OWN.TOTL.ZS"/>
    <m/>
    <m/>
    <m/>
    <m/>
    <m/>
    <n v="0"/>
  </r>
  <r>
    <x v="100"/>
    <s v="QAT"/>
    <x v="1"/>
    <s v="FX.OWN.TOTL.FE.ZS"/>
    <m/>
    <m/>
    <m/>
    <m/>
    <m/>
    <n v="0"/>
  </r>
  <r>
    <x v="100"/>
    <s v="QAT"/>
    <x v="2"/>
    <s v="FX.OWN.TOTL.MA.ZS"/>
    <m/>
    <m/>
    <m/>
    <m/>
    <m/>
    <n v="0"/>
  </r>
  <r>
    <x v="100"/>
    <s v="QAT"/>
    <x v="3"/>
    <s v="FX.OWN.TOTL.40.ZS"/>
    <m/>
    <m/>
    <m/>
    <m/>
    <m/>
    <n v="0"/>
  </r>
  <r>
    <x v="100"/>
    <s v="QAT"/>
    <x v="4"/>
    <s v="FX.OWN.TOTL.YG.ZS"/>
    <m/>
    <m/>
    <m/>
    <m/>
    <m/>
    <n v="0"/>
  </r>
  <r>
    <x v="100"/>
    <s v="QAT"/>
    <x v="5"/>
    <s v="FX.OWN.TOTL.PL.ZS"/>
    <m/>
    <m/>
    <m/>
    <m/>
    <m/>
    <n v="0"/>
  </r>
  <r>
    <x v="100"/>
    <s v="QAT"/>
    <x v="6"/>
    <s v="SL.TLF.0714.WK.TM"/>
    <m/>
    <m/>
    <m/>
    <m/>
    <m/>
    <n v="0"/>
  </r>
  <r>
    <x v="100"/>
    <s v="QAT"/>
    <x v="7"/>
    <s v="IC.FRM.BRIB.ZS"/>
    <m/>
    <m/>
    <m/>
    <m/>
    <m/>
    <n v="0"/>
  </r>
  <r>
    <x v="100"/>
    <s v="QAT"/>
    <x v="8"/>
    <s v="IC.BUS.DISC.XQ"/>
    <n v="2"/>
    <m/>
    <m/>
    <m/>
    <m/>
    <n v="2"/>
  </r>
  <r>
    <x v="100"/>
    <s v="QAT"/>
    <x v="9"/>
    <s v="GC.DOD.TOTL.GD.ZS"/>
    <m/>
    <m/>
    <m/>
    <m/>
    <m/>
    <n v="0"/>
  </r>
  <r>
    <x v="100"/>
    <s v="QAT"/>
    <x v="10"/>
    <s v="SE.COM.DURS"/>
    <n v="9"/>
    <n v="9"/>
    <n v="12"/>
    <n v="12"/>
    <n v="12"/>
    <n v="12"/>
  </r>
  <r>
    <x v="100"/>
    <s v="QAT"/>
    <x v="11"/>
    <s v="CC.PER.RNK"/>
    <n v="78.571426391601605"/>
    <n v="77.142860412597699"/>
    <n v="78.095237731933594"/>
    <n v="79.245285034179702"/>
    <n v="75"/>
    <n v="79.245285034179702"/>
  </r>
  <r>
    <x v="100"/>
    <s v="QAT"/>
    <x v="12"/>
    <s v="per_sa_allsa.cov_pop_tot"/>
    <m/>
    <m/>
    <m/>
    <m/>
    <m/>
    <n v="0"/>
  </r>
  <r>
    <x v="100"/>
    <s v="QAT"/>
    <x v="13"/>
    <s v="per_si_allsi.cov_q1_tot"/>
    <m/>
    <m/>
    <m/>
    <m/>
    <m/>
    <n v="0"/>
  </r>
  <r>
    <x v="100"/>
    <s v="QAT"/>
    <x v="14"/>
    <s v="SP.DYN.TO65.FE.ZS"/>
    <n v="94.094408000000001"/>
    <n v="94.148753999999997"/>
    <n v="93.658331000000004"/>
    <n v="93.498919000000001"/>
    <m/>
    <n v="94.148753999999997"/>
  </r>
  <r>
    <x v="100"/>
    <s v="QAT"/>
    <x v="15"/>
    <s v="SP.POP.TECH.RD.P6"/>
    <m/>
    <m/>
    <m/>
    <m/>
    <m/>
    <n v="0"/>
  </r>
  <r>
    <x v="100"/>
    <s v="QAT"/>
    <x v="16"/>
    <s v="IC.REG.DURS"/>
    <n v="8.6999999999999993"/>
    <m/>
    <m/>
    <m/>
    <m/>
    <n v="8.6999999999999993"/>
  </r>
  <r>
    <x v="101"/>
    <s v="RUS"/>
    <x v="0"/>
    <s v="FX.OWN.TOTL.ZS"/>
    <m/>
    <m/>
    <n v="89.72"/>
    <m/>
    <m/>
    <n v="89.72"/>
  </r>
  <r>
    <x v="101"/>
    <s v="RUS"/>
    <x v="1"/>
    <s v="FX.OWN.TOTL.FE.ZS"/>
    <m/>
    <m/>
    <n v="90.11"/>
    <m/>
    <m/>
    <n v="90.11"/>
  </r>
  <r>
    <x v="101"/>
    <s v="RUS"/>
    <x v="2"/>
    <s v="FX.OWN.TOTL.MA.ZS"/>
    <m/>
    <m/>
    <n v="89.26"/>
    <m/>
    <m/>
    <n v="89.26"/>
  </r>
  <r>
    <x v="101"/>
    <s v="RUS"/>
    <x v="3"/>
    <s v="FX.OWN.TOTL.40.ZS"/>
    <m/>
    <m/>
    <n v="85.81"/>
    <m/>
    <m/>
    <n v="85.81"/>
  </r>
  <r>
    <x v="101"/>
    <s v="RUS"/>
    <x v="4"/>
    <s v="FX.OWN.TOTL.YG.ZS"/>
    <m/>
    <m/>
    <n v="93.49"/>
    <m/>
    <m/>
    <n v="93.49"/>
  </r>
  <r>
    <x v="101"/>
    <s v="RUS"/>
    <x v="5"/>
    <s v="FX.OWN.TOTL.PL.ZS"/>
    <m/>
    <m/>
    <n v="82.29"/>
    <m/>
    <m/>
    <n v="82.29"/>
  </r>
  <r>
    <x v="101"/>
    <s v="RUS"/>
    <x v="6"/>
    <s v="SL.TLF.0714.WK.TM"/>
    <m/>
    <m/>
    <m/>
    <m/>
    <m/>
    <n v="0"/>
  </r>
  <r>
    <x v="101"/>
    <s v="RUS"/>
    <x v="7"/>
    <s v="IC.FRM.BRIB.ZS"/>
    <n v="26.8"/>
    <m/>
    <m/>
    <m/>
    <m/>
    <n v="26.8"/>
  </r>
  <r>
    <x v="101"/>
    <s v="RUS"/>
    <x v="8"/>
    <s v="IC.BUS.DISC.XQ"/>
    <n v="6"/>
    <m/>
    <m/>
    <m/>
    <m/>
    <n v="6"/>
  </r>
  <r>
    <x v="101"/>
    <s v="RUS"/>
    <x v="9"/>
    <s v="GC.DOD.TOTL.GD.ZS"/>
    <n v="17.2760484379376"/>
    <n v="22.992021036968001"/>
    <n v="20.866699219157098"/>
    <n v="19.5062376778091"/>
    <m/>
    <n v="22.992021036968001"/>
  </r>
  <r>
    <x v="101"/>
    <s v="RUS"/>
    <x v="10"/>
    <s v="SE.COM.DURS"/>
    <n v="11"/>
    <n v="11"/>
    <n v="11"/>
    <n v="11"/>
    <n v="11"/>
    <n v="11"/>
  </r>
  <r>
    <x v="101"/>
    <s v="RUS"/>
    <x v="11"/>
    <s v="CC.PER.RNK"/>
    <n v="23.809524536132798"/>
    <n v="19.0476188659668"/>
    <n v="19.523809432983398"/>
    <n v="18.396226882934599"/>
    <n v="15.566038131713899"/>
    <n v="23.809524536132798"/>
  </r>
  <r>
    <x v="101"/>
    <s v="RUS"/>
    <x v="12"/>
    <s v="per_sa_allsa.cov_pop_tot"/>
    <m/>
    <m/>
    <m/>
    <m/>
    <m/>
    <n v="0"/>
  </r>
  <r>
    <x v="101"/>
    <s v="RUS"/>
    <x v="13"/>
    <s v="per_si_allsi.cov_q1_tot"/>
    <m/>
    <m/>
    <m/>
    <m/>
    <m/>
    <n v="0"/>
  </r>
  <r>
    <x v="101"/>
    <s v="RUS"/>
    <x v="14"/>
    <s v="SP.DYN.TO65.FE.ZS"/>
    <n v="84.132901000000004"/>
    <n v="81.599002999999996"/>
    <n v="78.993780999999998"/>
    <n v="83.916381000000001"/>
    <m/>
    <n v="84.132901000000004"/>
  </r>
  <r>
    <x v="101"/>
    <s v="RUS"/>
    <x v="15"/>
    <s v="SP.POP.TECH.RD.P6"/>
    <m/>
    <m/>
    <m/>
    <m/>
    <m/>
    <n v="0"/>
  </r>
  <r>
    <x v="101"/>
    <s v="RUS"/>
    <x v="16"/>
    <s v="IC.REG.DURS"/>
    <n v="10.1"/>
    <m/>
    <m/>
    <m/>
    <m/>
    <n v="10.1"/>
  </r>
  <r>
    <x v="102"/>
    <s v="RWA"/>
    <x v="0"/>
    <s v="FX.OWN.TOTL.ZS"/>
    <m/>
    <m/>
    <m/>
    <m/>
    <m/>
    <n v="0"/>
  </r>
  <r>
    <x v="102"/>
    <s v="RWA"/>
    <x v="1"/>
    <s v="FX.OWN.TOTL.FE.ZS"/>
    <m/>
    <m/>
    <m/>
    <m/>
    <m/>
    <n v="0"/>
  </r>
  <r>
    <x v="102"/>
    <s v="RWA"/>
    <x v="2"/>
    <s v="FX.OWN.TOTL.MA.ZS"/>
    <m/>
    <m/>
    <m/>
    <m/>
    <m/>
    <n v="0"/>
  </r>
  <r>
    <x v="102"/>
    <s v="RWA"/>
    <x v="3"/>
    <s v="FX.OWN.TOTL.40.ZS"/>
    <m/>
    <m/>
    <m/>
    <m/>
    <m/>
    <n v="0"/>
  </r>
  <r>
    <x v="102"/>
    <s v="RWA"/>
    <x v="4"/>
    <s v="FX.OWN.TOTL.YG.ZS"/>
    <m/>
    <m/>
    <m/>
    <m/>
    <m/>
    <n v="0"/>
  </r>
  <r>
    <x v="102"/>
    <s v="RWA"/>
    <x v="5"/>
    <s v="FX.OWN.TOTL.PL.ZS"/>
    <m/>
    <m/>
    <m/>
    <m/>
    <m/>
    <n v="0"/>
  </r>
  <r>
    <x v="102"/>
    <s v="RWA"/>
    <x v="6"/>
    <s v="SL.TLF.0714.WK.TM"/>
    <m/>
    <m/>
    <m/>
    <m/>
    <m/>
    <n v="0"/>
  </r>
  <r>
    <x v="102"/>
    <s v="RWA"/>
    <x v="7"/>
    <s v="IC.FRM.BRIB.ZS"/>
    <n v="4.0999999999999996"/>
    <m/>
    <m/>
    <m/>
    <n v="12.3"/>
    <n v="12.3"/>
  </r>
  <r>
    <x v="102"/>
    <s v="RWA"/>
    <x v="8"/>
    <s v="IC.BUS.DISC.XQ"/>
    <n v="8"/>
    <m/>
    <m/>
    <m/>
    <m/>
    <n v="8"/>
  </r>
  <r>
    <x v="102"/>
    <s v="RWA"/>
    <x v="9"/>
    <s v="GC.DOD.TOTL.GD.ZS"/>
    <m/>
    <m/>
    <m/>
    <m/>
    <m/>
    <n v="0"/>
  </r>
  <r>
    <x v="102"/>
    <s v="RWA"/>
    <x v="10"/>
    <s v="SE.COM.DURS"/>
    <n v="6"/>
    <n v="6"/>
    <n v="6"/>
    <n v="6"/>
    <n v="6"/>
    <n v="6"/>
  </r>
  <r>
    <x v="102"/>
    <s v="RWA"/>
    <x v="11"/>
    <s v="CC.PER.RNK"/>
    <n v="67.142860412597699"/>
    <n v="67.619049072265597"/>
    <n v="70"/>
    <n v="70.283020019531193"/>
    <n v="73.113204956054702"/>
    <n v="73.113204956054702"/>
  </r>
  <r>
    <x v="102"/>
    <s v="RWA"/>
    <x v="12"/>
    <s v="per_sa_allsa.cov_pop_tot"/>
    <m/>
    <m/>
    <m/>
    <m/>
    <m/>
    <n v="0"/>
  </r>
  <r>
    <x v="102"/>
    <s v="RWA"/>
    <x v="13"/>
    <s v="per_si_allsi.cov_q1_tot"/>
    <m/>
    <m/>
    <m/>
    <m/>
    <m/>
    <n v="0"/>
  </r>
  <r>
    <x v="102"/>
    <s v="RWA"/>
    <x v="14"/>
    <s v="SP.DYN.TO65.FE.ZS"/>
    <n v="70.802439000000007"/>
    <n v="71.244026000000005"/>
    <n v="70.401983999999999"/>
    <n v="72.206030999999996"/>
    <m/>
    <n v="72.206030999999996"/>
  </r>
  <r>
    <x v="102"/>
    <s v="RWA"/>
    <x v="15"/>
    <s v="SP.POP.TECH.RD.P6"/>
    <m/>
    <m/>
    <m/>
    <m/>
    <m/>
    <n v="0"/>
  </r>
  <r>
    <x v="102"/>
    <s v="RWA"/>
    <x v="16"/>
    <s v="IC.REG.DURS"/>
    <n v="4"/>
    <m/>
    <m/>
    <m/>
    <m/>
    <n v="4"/>
  </r>
  <r>
    <x v="103"/>
    <s v="ROU"/>
    <x v="0"/>
    <s v="FX.OWN.TOTL.ZS"/>
    <m/>
    <m/>
    <n v="69.12"/>
    <m/>
    <m/>
    <n v="69.12"/>
  </r>
  <r>
    <x v="103"/>
    <s v="ROU"/>
    <x v="1"/>
    <s v="FX.OWN.TOTL.FE.ZS"/>
    <m/>
    <m/>
    <n v="65.739999999999995"/>
    <m/>
    <m/>
    <n v="65.739999999999995"/>
  </r>
  <r>
    <x v="103"/>
    <s v="ROU"/>
    <x v="2"/>
    <s v="FX.OWN.TOTL.MA.ZS"/>
    <m/>
    <m/>
    <n v="72.680000000000007"/>
    <m/>
    <m/>
    <n v="72.680000000000007"/>
  </r>
  <r>
    <x v="103"/>
    <s v="ROU"/>
    <x v="3"/>
    <s v="FX.OWN.TOTL.40.ZS"/>
    <m/>
    <m/>
    <n v="57.12"/>
    <m/>
    <m/>
    <n v="57.12"/>
  </r>
  <r>
    <x v="103"/>
    <s v="ROU"/>
    <x v="4"/>
    <s v="FX.OWN.TOTL.YG.ZS"/>
    <m/>
    <m/>
    <n v="71.92"/>
    <m/>
    <m/>
    <n v="71.92"/>
  </r>
  <r>
    <x v="103"/>
    <s v="ROU"/>
    <x v="5"/>
    <s v="FX.OWN.TOTL.PL.ZS"/>
    <m/>
    <m/>
    <n v="37.49"/>
    <m/>
    <m/>
    <n v="37.49"/>
  </r>
  <r>
    <x v="103"/>
    <s v="ROU"/>
    <x v="6"/>
    <s v="SL.TLF.0714.WK.TM"/>
    <m/>
    <m/>
    <m/>
    <m/>
    <m/>
    <n v="0"/>
  </r>
  <r>
    <x v="103"/>
    <s v="ROU"/>
    <x v="7"/>
    <s v="IC.FRM.BRIB.ZS"/>
    <n v="5.4"/>
    <m/>
    <m/>
    <m/>
    <n v="2.7"/>
    <n v="5.4"/>
  </r>
  <r>
    <x v="103"/>
    <s v="ROU"/>
    <x v="8"/>
    <s v="IC.BUS.DISC.XQ"/>
    <n v="9"/>
    <m/>
    <m/>
    <m/>
    <m/>
    <n v="9"/>
  </r>
  <r>
    <x v="103"/>
    <s v="ROU"/>
    <x v="9"/>
    <s v="GC.DOD.TOTL.GD.ZS"/>
    <n v="43.248255231679799"/>
    <n v="57.143259151253702"/>
    <n v="55.763127232687999"/>
    <n v="50.884908416999501"/>
    <m/>
    <n v="57.143259151253702"/>
  </r>
  <r>
    <x v="103"/>
    <s v="ROU"/>
    <x v="10"/>
    <s v="SE.COM.DURS"/>
    <n v="10"/>
    <n v="10"/>
    <n v="10"/>
    <n v="10"/>
    <n v="10"/>
    <n v="10"/>
  </r>
  <r>
    <x v="103"/>
    <s v="ROU"/>
    <x v="11"/>
    <s v="CC.PER.RNK"/>
    <n v="47.142856597900398"/>
    <n v="51.4285697937012"/>
    <n v="51.4285697937012"/>
    <n v="55.660377502441399"/>
    <n v="56.132076263427699"/>
    <n v="56.132076263427699"/>
  </r>
  <r>
    <x v="103"/>
    <s v="ROU"/>
    <x v="12"/>
    <s v="per_sa_allsa.cov_pop_tot"/>
    <m/>
    <m/>
    <m/>
    <m/>
    <m/>
    <n v="0"/>
  </r>
  <r>
    <x v="103"/>
    <s v="ROU"/>
    <x v="13"/>
    <s v="per_si_allsi.cov_q1_tot"/>
    <m/>
    <m/>
    <m/>
    <m/>
    <m/>
    <n v="0"/>
  </r>
  <r>
    <x v="103"/>
    <s v="ROU"/>
    <x v="14"/>
    <s v="SP.DYN.TO65.FE.ZS"/>
    <n v="87.235363000000007"/>
    <n v="85.819806999999997"/>
    <n v="83.691599999999994"/>
    <n v="87.077433999999997"/>
    <m/>
    <n v="87.235363000000007"/>
  </r>
  <r>
    <x v="103"/>
    <s v="ROU"/>
    <x v="15"/>
    <s v="SP.POP.TECH.RD.P6"/>
    <m/>
    <m/>
    <m/>
    <m/>
    <m/>
    <n v="0"/>
  </r>
  <r>
    <x v="103"/>
    <s v="ROU"/>
    <x v="16"/>
    <s v="IC.REG.DURS"/>
    <n v="20"/>
    <m/>
    <m/>
    <m/>
    <m/>
    <n v="20"/>
  </r>
  <r>
    <x v="104"/>
    <s v="SAU"/>
    <x v="0"/>
    <s v="FX.OWN.TOTL.ZS"/>
    <m/>
    <m/>
    <n v="74.319999999999993"/>
    <m/>
    <m/>
    <n v="74.319999999999993"/>
  </r>
  <r>
    <x v="104"/>
    <s v="SAU"/>
    <x v="1"/>
    <s v="FX.OWN.TOTL.FE.ZS"/>
    <m/>
    <m/>
    <n v="63.49"/>
    <m/>
    <m/>
    <n v="63.49"/>
  </r>
  <r>
    <x v="104"/>
    <s v="SAU"/>
    <x v="2"/>
    <s v="FX.OWN.TOTL.MA.ZS"/>
    <m/>
    <m/>
    <n v="81.67"/>
    <m/>
    <m/>
    <n v="81.67"/>
  </r>
  <r>
    <x v="104"/>
    <s v="SAU"/>
    <x v="3"/>
    <s v="FX.OWN.TOTL.40.ZS"/>
    <m/>
    <m/>
    <n v="66.61"/>
    <m/>
    <m/>
    <n v="66.61"/>
  </r>
  <r>
    <x v="104"/>
    <s v="SAU"/>
    <x v="4"/>
    <s v="FX.OWN.TOTL.YG.ZS"/>
    <m/>
    <m/>
    <n v="70.52"/>
    <m/>
    <m/>
    <n v="70.52"/>
  </r>
  <r>
    <x v="104"/>
    <s v="SAU"/>
    <x v="5"/>
    <s v="FX.OWN.TOTL.PL.ZS"/>
    <m/>
    <m/>
    <n v="76.8"/>
    <m/>
    <m/>
    <n v="76.8"/>
  </r>
  <r>
    <x v="104"/>
    <s v="SAU"/>
    <x v="6"/>
    <s v="SL.TLF.0714.WK.TM"/>
    <m/>
    <m/>
    <m/>
    <m/>
    <m/>
    <n v="0"/>
  </r>
  <r>
    <x v="104"/>
    <s v="SAU"/>
    <x v="7"/>
    <s v="IC.FRM.BRIB.ZS"/>
    <m/>
    <m/>
    <m/>
    <n v="4.5"/>
    <m/>
    <n v="4.5"/>
  </r>
  <r>
    <x v="104"/>
    <s v="SAU"/>
    <x v="8"/>
    <s v="IC.BUS.DISC.XQ"/>
    <n v="9"/>
    <m/>
    <m/>
    <m/>
    <m/>
    <n v="9"/>
  </r>
  <r>
    <x v="104"/>
    <s v="SAU"/>
    <x v="9"/>
    <s v="GC.DOD.TOTL.GD.ZS"/>
    <m/>
    <m/>
    <m/>
    <m/>
    <m/>
    <n v="0"/>
  </r>
  <r>
    <x v="104"/>
    <s v="SAU"/>
    <x v="10"/>
    <s v="SE.COM.DURS"/>
    <n v="9"/>
    <n v="9"/>
    <n v="9"/>
    <n v="9"/>
    <n v="9"/>
    <n v="9"/>
  </r>
  <r>
    <x v="104"/>
    <s v="SAU"/>
    <x v="11"/>
    <s v="CC.PER.RNK"/>
    <n v="62.380950927734403"/>
    <n v="61.4285697937012"/>
    <n v="62.380950927734403"/>
    <n v="63.679244995117202"/>
    <n v="66.509437561035199"/>
    <n v="66.509437561035199"/>
  </r>
  <r>
    <x v="104"/>
    <s v="SAU"/>
    <x v="12"/>
    <s v="per_sa_allsa.cov_pop_tot"/>
    <m/>
    <m/>
    <m/>
    <m/>
    <m/>
    <n v="0"/>
  </r>
  <r>
    <x v="104"/>
    <s v="SAU"/>
    <x v="13"/>
    <s v="per_si_allsi.cov_q1_tot"/>
    <m/>
    <m/>
    <m/>
    <m/>
    <m/>
    <n v="0"/>
  </r>
  <r>
    <x v="104"/>
    <s v="SAU"/>
    <x v="14"/>
    <s v="SP.DYN.TO65.FE.ZS"/>
    <n v="89.306848000000002"/>
    <n v="89.104877999999999"/>
    <n v="89.046610999999999"/>
    <n v="89.393818999999993"/>
    <m/>
    <n v="89.393818999999993"/>
  </r>
  <r>
    <x v="104"/>
    <s v="SAU"/>
    <x v="15"/>
    <s v="SP.POP.TECH.RD.P6"/>
    <m/>
    <m/>
    <m/>
    <m/>
    <m/>
    <n v="0"/>
  </r>
  <r>
    <x v="104"/>
    <s v="SAU"/>
    <x v="16"/>
    <s v="IC.REG.DURS"/>
    <n v="10.4"/>
    <m/>
    <m/>
    <m/>
    <m/>
    <n v="10.4"/>
  </r>
  <r>
    <x v="105"/>
    <s v="SRB"/>
    <x v="0"/>
    <s v="FX.OWN.TOTL.ZS"/>
    <m/>
    <m/>
    <n v="89.42"/>
    <m/>
    <m/>
    <n v="89.42"/>
  </r>
  <r>
    <x v="105"/>
    <s v="SRB"/>
    <x v="1"/>
    <s v="FX.OWN.TOTL.FE.ZS"/>
    <m/>
    <m/>
    <n v="89.83"/>
    <m/>
    <m/>
    <n v="89.83"/>
  </r>
  <r>
    <x v="105"/>
    <s v="SRB"/>
    <x v="2"/>
    <s v="FX.OWN.TOTL.MA.ZS"/>
    <m/>
    <m/>
    <n v="88.99"/>
    <m/>
    <m/>
    <n v="88.99"/>
  </r>
  <r>
    <x v="105"/>
    <s v="SRB"/>
    <x v="3"/>
    <s v="FX.OWN.TOTL.40.ZS"/>
    <m/>
    <m/>
    <n v="84.28"/>
    <m/>
    <m/>
    <n v="84.28"/>
  </r>
  <r>
    <x v="105"/>
    <s v="SRB"/>
    <x v="4"/>
    <s v="FX.OWN.TOTL.YG.ZS"/>
    <m/>
    <m/>
    <n v="69.400000000000006"/>
    <m/>
    <m/>
    <n v="69.400000000000006"/>
  </r>
  <r>
    <x v="105"/>
    <s v="SRB"/>
    <x v="5"/>
    <s v="FX.OWN.TOTL.PL.ZS"/>
    <m/>
    <m/>
    <n v="80.42"/>
    <m/>
    <m/>
    <n v="80.42"/>
  </r>
  <r>
    <x v="105"/>
    <s v="SRB"/>
    <x v="6"/>
    <s v="SL.TLF.0714.WK.TM"/>
    <m/>
    <m/>
    <m/>
    <m/>
    <m/>
    <n v="0"/>
  </r>
  <r>
    <x v="105"/>
    <s v="SRB"/>
    <x v="7"/>
    <s v="IC.FRM.BRIB.ZS"/>
    <n v="6.9"/>
    <m/>
    <m/>
    <m/>
    <m/>
    <n v="6.9"/>
  </r>
  <r>
    <x v="105"/>
    <s v="SRB"/>
    <x v="8"/>
    <s v="IC.BUS.DISC.XQ"/>
    <n v="6"/>
    <m/>
    <m/>
    <m/>
    <m/>
    <n v="6"/>
  </r>
  <r>
    <x v="105"/>
    <s v="SRB"/>
    <x v="9"/>
    <s v="GC.DOD.TOTL.GD.ZS"/>
    <m/>
    <m/>
    <m/>
    <m/>
    <m/>
    <n v="0"/>
  </r>
  <r>
    <x v="105"/>
    <s v="SRB"/>
    <x v="10"/>
    <s v="SE.COM.DURS"/>
    <n v="8"/>
    <n v="8"/>
    <n v="8"/>
    <n v="8"/>
    <n v="8"/>
    <n v="8"/>
  </r>
  <r>
    <x v="105"/>
    <s v="SRB"/>
    <x v="11"/>
    <s v="CC.PER.RNK"/>
    <n v="37.619049072265597"/>
    <n v="37.142856597900398"/>
    <n v="35.714286804199197"/>
    <n v="35.377357482910199"/>
    <n v="38.207546234130902"/>
    <n v="38.207546234130902"/>
  </r>
  <r>
    <x v="105"/>
    <s v="SRB"/>
    <x v="12"/>
    <s v="per_sa_allsa.cov_pop_tot"/>
    <m/>
    <m/>
    <m/>
    <m/>
    <m/>
    <n v="0"/>
  </r>
  <r>
    <x v="105"/>
    <s v="SRB"/>
    <x v="13"/>
    <s v="per_si_allsi.cov_q1_tot"/>
    <m/>
    <m/>
    <m/>
    <m/>
    <m/>
    <n v="0"/>
  </r>
  <r>
    <x v="105"/>
    <s v="SRB"/>
    <x v="14"/>
    <s v="SP.DYN.TO65.FE.ZS"/>
    <n v="87.597977999999998"/>
    <n v="85.858215999999999"/>
    <n v="83.837327000000002"/>
    <n v="87.675888999999998"/>
    <m/>
    <n v="87.675888999999998"/>
  </r>
  <r>
    <x v="105"/>
    <s v="SRB"/>
    <x v="15"/>
    <s v="SP.POP.TECH.RD.P6"/>
    <m/>
    <m/>
    <m/>
    <m/>
    <m/>
    <n v="0"/>
  </r>
  <r>
    <x v="105"/>
    <s v="SRB"/>
    <x v="16"/>
    <s v="IC.REG.DURS"/>
    <n v="7"/>
    <m/>
    <m/>
    <m/>
    <m/>
    <n v="7"/>
  </r>
  <r>
    <x v="106"/>
    <s v="SGP"/>
    <x v="0"/>
    <s v="FX.OWN.TOTL.ZS"/>
    <m/>
    <m/>
    <n v="97.55"/>
    <m/>
    <m/>
    <n v="97.55"/>
  </r>
  <r>
    <x v="106"/>
    <s v="SGP"/>
    <x v="1"/>
    <s v="FX.OWN.TOTL.FE.ZS"/>
    <m/>
    <m/>
    <n v="96.87"/>
    <m/>
    <m/>
    <n v="96.87"/>
  </r>
  <r>
    <x v="106"/>
    <s v="SGP"/>
    <x v="2"/>
    <s v="FX.OWN.TOTL.MA.ZS"/>
    <m/>
    <m/>
    <n v="98.27"/>
    <m/>
    <m/>
    <n v="98.27"/>
  </r>
  <r>
    <x v="106"/>
    <s v="SGP"/>
    <x v="3"/>
    <s v="FX.OWN.TOTL.40.ZS"/>
    <m/>
    <m/>
    <n v="95.55"/>
    <m/>
    <m/>
    <n v="95.55"/>
  </r>
  <r>
    <x v="106"/>
    <s v="SGP"/>
    <x v="4"/>
    <s v="FX.OWN.TOTL.YG.ZS"/>
    <m/>
    <m/>
    <n v="94.36"/>
    <m/>
    <m/>
    <n v="94.36"/>
  </r>
  <r>
    <x v="106"/>
    <s v="SGP"/>
    <x v="5"/>
    <s v="FX.OWN.TOTL.PL.ZS"/>
    <m/>
    <m/>
    <n v="92.44"/>
    <m/>
    <m/>
    <n v="92.44"/>
  </r>
  <r>
    <x v="106"/>
    <s v="SGP"/>
    <x v="6"/>
    <s v="SL.TLF.0714.WK.TM"/>
    <m/>
    <m/>
    <m/>
    <m/>
    <m/>
    <n v="0"/>
  </r>
  <r>
    <x v="106"/>
    <s v="SGP"/>
    <x v="7"/>
    <s v="IC.FRM.BRIB.ZS"/>
    <m/>
    <m/>
    <m/>
    <m/>
    <n v="0.6"/>
    <n v="0.6"/>
  </r>
  <r>
    <x v="106"/>
    <s v="SGP"/>
    <x v="8"/>
    <s v="IC.BUS.DISC.XQ"/>
    <n v="10"/>
    <m/>
    <m/>
    <m/>
    <m/>
    <n v="10"/>
  </r>
  <r>
    <x v="106"/>
    <s v="SGP"/>
    <x v="9"/>
    <s v="GC.DOD.TOTL.GD.ZS"/>
    <n v="127.826745717478"/>
    <n v="151.56632474280801"/>
    <n v="150.14191284055201"/>
    <m/>
    <m/>
    <n v="151.56632474280801"/>
  </r>
  <r>
    <x v="106"/>
    <s v="SGP"/>
    <x v="10"/>
    <s v="SE.COM.DURS"/>
    <n v="6"/>
    <n v="6"/>
    <n v="6"/>
    <n v="6"/>
    <n v="6"/>
    <n v="6"/>
  </r>
  <r>
    <x v="106"/>
    <s v="SGP"/>
    <x v="11"/>
    <s v="CC.PER.RNK"/>
    <n v="99.047622680664105"/>
    <n v="99.047622680664105"/>
    <n v="98.571426391601605"/>
    <n v="98.584907531738295"/>
    <n v="98.113204956054702"/>
    <n v="99.047622680664105"/>
  </r>
  <r>
    <x v="106"/>
    <s v="SGP"/>
    <x v="12"/>
    <s v="per_sa_allsa.cov_pop_tot"/>
    <m/>
    <m/>
    <m/>
    <m/>
    <m/>
    <n v="0"/>
  </r>
  <r>
    <x v="106"/>
    <s v="SGP"/>
    <x v="13"/>
    <s v="per_si_allsi.cov_q1_tot"/>
    <m/>
    <m/>
    <m/>
    <m/>
    <m/>
    <n v="0"/>
  </r>
  <r>
    <x v="106"/>
    <s v="SGP"/>
    <x v="14"/>
    <s v="SP.DYN.TO65.FE.ZS"/>
    <n v="94.189503999999999"/>
    <n v="94.291038999999998"/>
    <n v="93.735613999999998"/>
    <n v="92.930960999999996"/>
    <m/>
    <n v="94.291038999999998"/>
  </r>
  <r>
    <x v="106"/>
    <s v="SGP"/>
    <x v="15"/>
    <s v="SP.POP.TECH.RD.P6"/>
    <m/>
    <m/>
    <m/>
    <m/>
    <m/>
    <n v="0"/>
  </r>
  <r>
    <x v="106"/>
    <s v="SGP"/>
    <x v="16"/>
    <s v="IC.REG.DURS"/>
    <n v="1.5"/>
    <m/>
    <m/>
    <m/>
    <m/>
    <n v="1.5"/>
  </r>
  <r>
    <x v="107"/>
    <s v="SVK"/>
    <x v="0"/>
    <s v="FX.OWN.TOTL.ZS"/>
    <m/>
    <m/>
    <n v="95.62"/>
    <m/>
    <m/>
    <n v="95.62"/>
  </r>
  <r>
    <x v="107"/>
    <s v="SVK"/>
    <x v="1"/>
    <s v="FX.OWN.TOTL.FE.ZS"/>
    <m/>
    <m/>
    <n v="94.01"/>
    <m/>
    <m/>
    <n v="94.01"/>
  </r>
  <r>
    <x v="107"/>
    <s v="SVK"/>
    <x v="2"/>
    <s v="FX.OWN.TOTL.MA.ZS"/>
    <m/>
    <m/>
    <n v="97.36"/>
    <m/>
    <m/>
    <n v="97.36"/>
  </r>
  <r>
    <x v="107"/>
    <s v="SVK"/>
    <x v="3"/>
    <s v="FX.OWN.TOTL.40.ZS"/>
    <m/>
    <m/>
    <n v="90.83"/>
    <m/>
    <m/>
    <n v="90.83"/>
  </r>
  <r>
    <x v="107"/>
    <s v="SVK"/>
    <x v="4"/>
    <s v="FX.OWN.TOTL.YG.ZS"/>
    <m/>
    <m/>
    <n v="96.05"/>
    <m/>
    <m/>
    <n v="96.05"/>
  </r>
  <r>
    <x v="107"/>
    <s v="SVK"/>
    <x v="5"/>
    <s v="FX.OWN.TOTL.PL.ZS"/>
    <m/>
    <m/>
    <n v="70.75"/>
    <m/>
    <m/>
    <n v="70.75"/>
  </r>
  <r>
    <x v="107"/>
    <s v="SVK"/>
    <x v="6"/>
    <s v="SL.TLF.0714.WK.TM"/>
    <m/>
    <m/>
    <m/>
    <m/>
    <m/>
    <n v="0"/>
  </r>
  <r>
    <x v="107"/>
    <s v="SVK"/>
    <x v="7"/>
    <s v="IC.FRM.BRIB.ZS"/>
    <n v="2.4"/>
    <m/>
    <m/>
    <m/>
    <n v="2"/>
    <n v="2.4"/>
  </r>
  <r>
    <x v="107"/>
    <s v="SVK"/>
    <x v="8"/>
    <s v="IC.BUS.DISC.XQ"/>
    <n v="3"/>
    <m/>
    <m/>
    <m/>
    <m/>
    <n v="3"/>
  </r>
  <r>
    <x v="107"/>
    <s v="SVK"/>
    <x v="9"/>
    <s v="GC.DOD.TOTL.GD.ZS"/>
    <n v="63.033511288359598"/>
    <n v="77.602883349438201"/>
    <n v="77.515395937772197"/>
    <n v="64.315788577754802"/>
    <m/>
    <n v="77.602883349438201"/>
  </r>
  <r>
    <x v="107"/>
    <s v="SVK"/>
    <x v="10"/>
    <s v="SE.COM.DURS"/>
    <n v="10"/>
    <n v="10"/>
    <n v="11"/>
    <n v="11"/>
    <n v="11"/>
    <n v="11"/>
  </r>
  <r>
    <x v="107"/>
    <s v="SVK"/>
    <x v="11"/>
    <s v="CC.PER.RNK"/>
    <n v="59.523811340332003"/>
    <n v="64.285713195800795"/>
    <n v="60"/>
    <n v="60.377357482910199"/>
    <n v="61.320755004882798"/>
    <n v="64.285713195800795"/>
  </r>
  <r>
    <x v="107"/>
    <s v="SVK"/>
    <x v="12"/>
    <s v="per_sa_allsa.cov_pop_tot"/>
    <m/>
    <m/>
    <m/>
    <m/>
    <m/>
    <n v="0"/>
  </r>
  <r>
    <x v="107"/>
    <s v="SVK"/>
    <x v="13"/>
    <s v="per_si_allsi.cov_q1_tot"/>
    <m/>
    <m/>
    <m/>
    <m/>
    <m/>
    <n v="0"/>
  </r>
  <r>
    <x v="107"/>
    <s v="SVK"/>
    <x v="14"/>
    <s v="SP.DYN.TO65.FE.ZS"/>
    <n v="89.688047999999995"/>
    <n v="89.435019999999994"/>
    <n v="86.768808000000007"/>
    <n v="89.215841999999995"/>
    <m/>
    <n v="89.688047999999995"/>
  </r>
  <r>
    <x v="107"/>
    <s v="SVK"/>
    <x v="15"/>
    <s v="SP.POP.TECH.RD.P6"/>
    <m/>
    <m/>
    <m/>
    <m/>
    <m/>
    <n v="0"/>
  </r>
  <r>
    <x v="107"/>
    <s v="SVK"/>
    <x v="16"/>
    <s v="IC.REG.DURS"/>
    <n v="21.5"/>
    <m/>
    <m/>
    <m/>
    <m/>
    <n v="21.5"/>
  </r>
  <r>
    <x v="108"/>
    <s v="SVN"/>
    <x v="0"/>
    <s v="FX.OWN.TOTL.ZS"/>
    <m/>
    <m/>
    <n v="99.05"/>
    <m/>
    <m/>
    <n v="99.05"/>
  </r>
  <r>
    <x v="108"/>
    <s v="SVN"/>
    <x v="1"/>
    <s v="FX.OWN.TOTL.FE.ZS"/>
    <m/>
    <m/>
    <n v="98.15"/>
    <m/>
    <m/>
    <n v="98.15"/>
  </r>
  <r>
    <x v="108"/>
    <s v="SVN"/>
    <x v="2"/>
    <s v="FX.OWN.TOTL.MA.ZS"/>
    <m/>
    <m/>
    <n v="100"/>
    <m/>
    <m/>
    <n v="100"/>
  </r>
  <r>
    <x v="108"/>
    <s v="SVN"/>
    <x v="3"/>
    <s v="FX.OWN.TOTL.40.ZS"/>
    <m/>
    <m/>
    <n v="97.62"/>
    <m/>
    <m/>
    <n v="97.62"/>
  </r>
  <r>
    <x v="108"/>
    <s v="SVN"/>
    <x v="4"/>
    <s v="FX.OWN.TOTL.YG.ZS"/>
    <m/>
    <m/>
    <n v="100"/>
    <m/>
    <m/>
    <n v="100"/>
  </r>
  <r>
    <x v="108"/>
    <s v="SVN"/>
    <x v="5"/>
    <s v="FX.OWN.TOTL.PL.ZS"/>
    <m/>
    <m/>
    <n v="96.81"/>
    <m/>
    <m/>
    <n v="96.81"/>
  </r>
  <r>
    <x v="108"/>
    <s v="SVN"/>
    <x v="6"/>
    <s v="SL.TLF.0714.WK.TM"/>
    <m/>
    <m/>
    <m/>
    <m/>
    <m/>
    <n v="0"/>
  </r>
  <r>
    <x v="108"/>
    <s v="SVN"/>
    <x v="7"/>
    <s v="IC.FRM.BRIB.ZS"/>
    <n v="1.8"/>
    <m/>
    <m/>
    <m/>
    <m/>
    <n v="1.8"/>
  </r>
  <r>
    <x v="108"/>
    <s v="SVN"/>
    <x v="8"/>
    <s v="IC.BUS.DISC.XQ"/>
    <n v="5"/>
    <m/>
    <m/>
    <m/>
    <m/>
    <n v="5"/>
  </r>
  <r>
    <x v="108"/>
    <s v="SVN"/>
    <x v="9"/>
    <s v="GC.DOD.TOTL.GD.ZS"/>
    <m/>
    <m/>
    <m/>
    <m/>
    <m/>
    <n v="0"/>
  </r>
  <r>
    <x v="108"/>
    <s v="SVN"/>
    <x v="10"/>
    <s v="SE.COM.DURS"/>
    <n v="9"/>
    <n v="9"/>
    <n v="9"/>
    <n v="9"/>
    <n v="9"/>
    <n v="9"/>
  </r>
  <r>
    <x v="108"/>
    <s v="SVN"/>
    <x v="11"/>
    <s v="CC.PER.RNK"/>
    <n v="80"/>
    <n v="78.095237731933594"/>
    <n v="75.238098144531193"/>
    <n v="78.301887512207003"/>
    <n v="77.358489990234403"/>
    <n v="80"/>
  </r>
  <r>
    <x v="108"/>
    <s v="SVN"/>
    <x v="12"/>
    <s v="per_sa_allsa.cov_pop_tot"/>
    <m/>
    <m/>
    <m/>
    <m/>
    <m/>
    <n v="0"/>
  </r>
  <r>
    <x v="108"/>
    <s v="SVN"/>
    <x v="13"/>
    <s v="per_si_allsi.cov_q1_tot"/>
    <m/>
    <m/>
    <m/>
    <m/>
    <m/>
    <n v="0"/>
  </r>
  <r>
    <x v="108"/>
    <s v="SVN"/>
    <x v="14"/>
    <s v="SP.DYN.TO65.FE.ZS"/>
    <n v="93.040729999999996"/>
    <n v="93.232579999999999"/>
    <n v="93.002931000000004"/>
    <n v="92.734509000000003"/>
    <m/>
    <n v="93.232579999999999"/>
  </r>
  <r>
    <x v="108"/>
    <s v="SVN"/>
    <x v="15"/>
    <s v="SP.POP.TECH.RD.P6"/>
    <m/>
    <m/>
    <m/>
    <m/>
    <m/>
    <n v="0"/>
  </r>
  <r>
    <x v="108"/>
    <s v="SVN"/>
    <x v="16"/>
    <s v="IC.REG.DURS"/>
    <n v="8"/>
    <m/>
    <m/>
    <m/>
    <m/>
    <n v="8"/>
  </r>
  <r>
    <x v="109"/>
    <s v="ZAF"/>
    <x v="0"/>
    <s v="FX.OWN.TOTL.ZS"/>
    <m/>
    <m/>
    <n v="85.38"/>
    <m/>
    <m/>
    <n v="85.38"/>
  </r>
  <r>
    <x v="109"/>
    <s v="ZAF"/>
    <x v="1"/>
    <s v="FX.OWN.TOTL.FE.ZS"/>
    <m/>
    <m/>
    <n v="86.18"/>
    <m/>
    <m/>
    <n v="86.18"/>
  </r>
  <r>
    <x v="109"/>
    <s v="ZAF"/>
    <x v="2"/>
    <s v="FX.OWN.TOTL.MA.ZS"/>
    <m/>
    <m/>
    <n v="84.56"/>
    <m/>
    <m/>
    <n v="84.56"/>
  </r>
  <r>
    <x v="109"/>
    <s v="ZAF"/>
    <x v="3"/>
    <s v="FX.OWN.TOTL.40.ZS"/>
    <m/>
    <m/>
    <n v="77.819999999999993"/>
    <m/>
    <m/>
    <n v="77.819999999999993"/>
  </r>
  <r>
    <x v="109"/>
    <s v="ZAF"/>
    <x v="4"/>
    <s v="FX.OWN.TOTL.YG.ZS"/>
    <m/>
    <m/>
    <n v="79.06"/>
    <m/>
    <m/>
    <n v="79.06"/>
  </r>
  <r>
    <x v="109"/>
    <s v="ZAF"/>
    <x v="5"/>
    <s v="FX.OWN.TOTL.PL.ZS"/>
    <m/>
    <m/>
    <n v="76.02"/>
    <m/>
    <m/>
    <n v="76.02"/>
  </r>
  <r>
    <x v="109"/>
    <s v="ZAF"/>
    <x v="6"/>
    <s v="SL.TLF.0714.WK.TM"/>
    <m/>
    <m/>
    <m/>
    <m/>
    <m/>
    <n v="0"/>
  </r>
  <r>
    <x v="109"/>
    <s v="ZAF"/>
    <x v="7"/>
    <s v="IC.FRM.BRIB.ZS"/>
    <m/>
    <n v="1.5"/>
    <m/>
    <m/>
    <m/>
    <n v="1.5"/>
  </r>
  <r>
    <x v="109"/>
    <s v="ZAF"/>
    <x v="8"/>
    <s v="IC.BUS.DISC.XQ"/>
    <n v="8"/>
    <m/>
    <m/>
    <m/>
    <m/>
    <n v="8"/>
  </r>
  <r>
    <x v="109"/>
    <s v="ZAF"/>
    <x v="9"/>
    <s v="GC.DOD.TOTL.GD.ZS"/>
    <n v="64.589278135110405"/>
    <n v="75.725509079321597"/>
    <n v="73.806509100935401"/>
    <n v="76.237238333753098"/>
    <m/>
    <n v="76.237238333753098"/>
  </r>
  <r>
    <x v="109"/>
    <s v="ZAF"/>
    <x v="10"/>
    <s v="SE.COM.DURS"/>
    <n v="9"/>
    <n v="9"/>
    <n v="9"/>
    <n v="9"/>
    <n v="9"/>
    <n v="9"/>
  </r>
  <r>
    <x v="109"/>
    <s v="ZAF"/>
    <x v="11"/>
    <s v="CC.PER.RNK"/>
    <n v="54.285713195800803"/>
    <n v="53.333332061767599"/>
    <n v="53.809524536132798"/>
    <n v="43.867923736572301"/>
    <n v="45.754718780517599"/>
    <n v="54.285713195800803"/>
  </r>
  <r>
    <x v="109"/>
    <s v="ZAF"/>
    <x v="12"/>
    <s v="per_sa_allsa.cov_pop_tot"/>
    <n v="82.606359846140094"/>
    <n v="77.591357180010903"/>
    <m/>
    <m/>
    <m/>
    <n v="82.606359846140094"/>
  </r>
  <r>
    <x v="109"/>
    <s v="ZAF"/>
    <x v="13"/>
    <s v="per_si_allsi.cov_q1_tot"/>
    <n v="0.55485179503274296"/>
    <n v="6.6498266313508705E-2"/>
    <m/>
    <m/>
    <m/>
    <n v="0.55485179503274296"/>
  </r>
  <r>
    <x v="109"/>
    <s v="ZAF"/>
    <x v="14"/>
    <s v="SP.DYN.TO65.FE.ZS"/>
    <n v="67.134392000000005"/>
    <n v="64.152867999999998"/>
    <n v="58.390419999999999"/>
    <n v="67.756465000000006"/>
    <m/>
    <n v="67.756465000000006"/>
  </r>
  <r>
    <x v="109"/>
    <s v="ZAF"/>
    <x v="15"/>
    <s v="SP.POP.TECH.RD.P6"/>
    <m/>
    <m/>
    <m/>
    <m/>
    <m/>
    <n v="0"/>
  </r>
  <r>
    <x v="109"/>
    <s v="ZAF"/>
    <x v="16"/>
    <s v="IC.REG.DURS"/>
    <n v="40"/>
    <m/>
    <m/>
    <m/>
    <m/>
    <n v="40"/>
  </r>
  <r>
    <x v="110"/>
    <s v="ESP"/>
    <x v="0"/>
    <s v="FX.OWN.TOTL.ZS"/>
    <m/>
    <m/>
    <n v="98.3"/>
    <m/>
    <m/>
    <n v="98.3"/>
  </r>
  <r>
    <x v="110"/>
    <s v="ESP"/>
    <x v="1"/>
    <s v="FX.OWN.TOTL.FE.ZS"/>
    <m/>
    <m/>
    <n v="97.49"/>
    <m/>
    <m/>
    <n v="97.49"/>
  </r>
  <r>
    <x v="110"/>
    <s v="ESP"/>
    <x v="2"/>
    <s v="FX.OWN.TOTL.MA.ZS"/>
    <m/>
    <m/>
    <n v="99.11"/>
    <m/>
    <m/>
    <n v="99.11"/>
  </r>
  <r>
    <x v="110"/>
    <s v="ESP"/>
    <x v="3"/>
    <s v="FX.OWN.TOTL.40.ZS"/>
    <m/>
    <m/>
    <n v="97.93"/>
    <m/>
    <m/>
    <n v="97.93"/>
  </r>
  <r>
    <x v="110"/>
    <s v="ESP"/>
    <x v="4"/>
    <s v="FX.OWN.TOTL.YG.ZS"/>
    <m/>
    <m/>
    <n v="96.84"/>
    <m/>
    <m/>
    <n v="96.84"/>
  </r>
  <r>
    <x v="110"/>
    <s v="ESP"/>
    <x v="5"/>
    <s v="FX.OWN.TOTL.PL.ZS"/>
    <m/>
    <m/>
    <n v="96.37"/>
    <m/>
    <m/>
    <n v="96.37"/>
  </r>
  <r>
    <x v="110"/>
    <s v="ESP"/>
    <x v="6"/>
    <s v="SL.TLF.0714.WK.TM"/>
    <m/>
    <m/>
    <m/>
    <m/>
    <m/>
    <n v="0"/>
  </r>
  <r>
    <x v="110"/>
    <s v="ESP"/>
    <x v="7"/>
    <s v="IC.FRM.BRIB.ZS"/>
    <m/>
    <m/>
    <n v="3.5"/>
    <m/>
    <m/>
    <n v="3.5"/>
  </r>
  <r>
    <x v="110"/>
    <s v="ESP"/>
    <x v="8"/>
    <s v="IC.BUS.DISC.XQ"/>
    <n v="7"/>
    <m/>
    <m/>
    <m/>
    <m/>
    <n v="7"/>
  </r>
  <r>
    <x v="110"/>
    <s v="ESP"/>
    <x v="9"/>
    <s v="GC.DOD.TOTL.GD.ZS"/>
    <n v="111.31802542129201"/>
    <n v="138.91198855805999"/>
    <n v="132.58970502582099"/>
    <n v="109.21602300273"/>
    <m/>
    <n v="138.91198855805999"/>
  </r>
  <r>
    <x v="110"/>
    <s v="ESP"/>
    <x v="10"/>
    <s v="SE.COM.DURS"/>
    <n v="10"/>
    <n v="10"/>
    <n v="10"/>
    <n v="10"/>
    <n v="10"/>
    <n v="10"/>
  </r>
  <r>
    <x v="110"/>
    <s v="ESP"/>
    <x v="11"/>
    <s v="CC.PER.RNK"/>
    <n v="73.809524536132798"/>
    <n v="75.714286804199205"/>
    <n v="75.714286804199205"/>
    <n v="75"/>
    <n v="71.698112487792997"/>
    <n v="75.714286804199205"/>
  </r>
  <r>
    <x v="110"/>
    <s v="ESP"/>
    <x v="12"/>
    <s v="per_sa_allsa.cov_pop_tot"/>
    <m/>
    <m/>
    <m/>
    <m/>
    <m/>
    <n v="0"/>
  </r>
  <r>
    <x v="110"/>
    <s v="ESP"/>
    <x v="13"/>
    <s v="per_si_allsi.cov_q1_tot"/>
    <m/>
    <m/>
    <m/>
    <m/>
    <m/>
    <n v="0"/>
  </r>
  <r>
    <x v="110"/>
    <s v="ESP"/>
    <x v="14"/>
    <s v="SP.DYN.TO65.FE.ZS"/>
    <n v="94.078739999999996"/>
    <n v="93.640405000000001"/>
    <n v="93.827787000000001"/>
    <n v="93.312496999999993"/>
    <m/>
    <n v="94.078739999999996"/>
  </r>
  <r>
    <x v="110"/>
    <s v="ESP"/>
    <x v="15"/>
    <s v="SP.POP.TECH.RD.P6"/>
    <m/>
    <m/>
    <m/>
    <m/>
    <m/>
    <n v="0"/>
  </r>
  <r>
    <x v="110"/>
    <s v="ESP"/>
    <x v="16"/>
    <s v="IC.REG.DURS"/>
    <n v="12.5"/>
    <m/>
    <m/>
    <m/>
    <m/>
    <n v="12.5"/>
  </r>
  <r>
    <x v="111"/>
    <s v="LKA"/>
    <x v="0"/>
    <s v="FX.OWN.TOTL.ZS"/>
    <m/>
    <m/>
    <n v="89.27"/>
    <m/>
    <m/>
    <n v="89.27"/>
  </r>
  <r>
    <x v="111"/>
    <s v="LKA"/>
    <x v="1"/>
    <s v="FX.OWN.TOTL.FE.ZS"/>
    <m/>
    <m/>
    <n v="89.28"/>
    <m/>
    <m/>
    <n v="89.28"/>
  </r>
  <r>
    <x v="111"/>
    <s v="LKA"/>
    <x v="2"/>
    <s v="FX.OWN.TOTL.MA.ZS"/>
    <m/>
    <m/>
    <n v="89.26"/>
    <m/>
    <m/>
    <n v="89.26"/>
  </r>
  <r>
    <x v="111"/>
    <s v="LKA"/>
    <x v="3"/>
    <s v="FX.OWN.TOTL.40.ZS"/>
    <m/>
    <m/>
    <n v="87.08"/>
    <m/>
    <m/>
    <n v="87.08"/>
  </r>
  <r>
    <x v="111"/>
    <s v="LKA"/>
    <x v="4"/>
    <s v="FX.OWN.TOTL.YG.ZS"/>
    <m/>
    <m/>
    <n v="86.4"/>
    <m/>
    <m/>
    <n v="86.4"/>
  </r>
  <r>
    <x v="111"/>
    <s v="LKA"/>
    <x v="5"/>
    <s v="FX.OWN.TOTL.PL.ZS"/>
    <m/>
    <m/>
    <n v="76.930000000000007"/>
    <m/>
    <m/>
    <n v="76.930000000000007"/>
  </r>
  <r>
    <x v="111"/>
    <s v="LKA"/>
    <x v="6"/>
    <s v="SL.TLF.0714.WK.TM"/>
    <m/>
    <m/>
    <m/>
    <m/>
    <m/>
    <n v="0"/>
  </r>
  <r>
    <x v="111"/>
    <s v="LKA"/>
    <x v="7"/>
    <s v="IC.FRM.BRIB.ZS"/>
    <m/>
    <m/>
    <m/>
    <m/>
    <m/>
    <n v="0"/>
  </r>
  <r>
    <x v="111"/>
    <s v="LKA"/>
    <x v="8"/>
    <s v="IC.BUS.DISC.XQ"/>
    <n v="8"/>
    <m/>
    <m/>
    <m/>
    <m/>
    <n v="8"/>
  </r>
  <r>
    <x v="111"/>
    <s v="LKA"/>
    <x v="9"/>
    <s v="GC.DOD.TOTL.GD.ZS"/>
    <m/>
    <m/>
    <m/>
    <m/>
    <m/>
    <n v="0"/>
  </r>
  <r>
    <x v="111"/>
    <s v="LKA"/>
    <x v="10"/>
    <s v="SE.COM.DURS"/>
    <n v="11"/>
    <n v="11"/>
    <n v="11"/>
    <n v="11"/>
    <n v="11"/>
    <n v="11"/>
  </r>
  <r>
    <x v="111"/>
    <s v="LKA"/>
    <x v="11"/>
    <s v="CC.PER.RNK"/>
    <n v="44.285713195800803"/>
    <n v="43.333332061767599"/>
    <n v="42.380950927734403"/>
    <n v="40.0943412780762"/>
    <n v="40.0943412780762"/>
    <n v="44.285713195800803"/>
  </r>
  <r>
    <x v="111"/>
    <s v="LKA"/>
    <x v="12"/>
    <s v="per_sa_allsa.cov_pop_tot"/>
    <n v="29.985752283944901"/>
    <m/>
    <m/>
    <m/>
    <m/>
    <n v="29.985752283944901"/>
  </r>
  <r>
    <x v="111"/>
    <s v="LKA"/>
    <x v="13"/>
    <s v="per_si_allsi.cov_q1_tot"/>
    <n v="2.8901918730262199"/>
    <m/>
    <m/>
    <m/>
    <m/>
    <n v="2.8901918730262199"/>
  </r>
  <r>
    <x v="111"/>
    <s v="LKA"/>
    <x v="14"/>
    <s v="SP.DYN.TO65.FE.ZS"/>
    <n v="89.716672000000003"/>
    <n v="89.961823999999993"/>
    <n v="89.052763999999996"/>
    <n v="90.438481999999993"/>
    <m/>
    <n v="90.438481999999993"/>
  </r>
  <r>
    <x v="111"/>
    <s v="LKA"/>
    <x v="15"/>
    <s v="SP.POP.TECH.RD.P6"/>
    <m/>
    <m/>
    <m/>
    <m/>
    <m/>
    <n v="0"/>
  </r>
  <r>
    <x v="111"/>
    <s v="LKA"/>
    <x v="16"/>
    <s v="IC.REG.DURS"/>
    <n v="8"/>
    <m/>
    <m/>
    <m/>
    <m/>
    <n v="8"/>
  </r>
  <r>
    <x v="112"/>
    <s v="CHE"/>
    <x v="0"/>
    <s v="FX.OWN.TOTL.ZS"/>
    <m/>
    <m/>
    <n v="99.49"/>
    <m/>
    <m/>
    <n v="99.49"/>
  </r>
  <r>
    <x v="112"/>
    <s v="CHE"/>
    <x v="1"/>
    <s v="FX.OWN.TOTL.FE.ZS"/>
    <m/>
    <m/>
    <n v="99.02"/>
    <m/>
    <m/>
    <n v="99.02"/>
  </r>
  <r>
    <x v="112"/>
    <s v="CHE"/>
    <x v="2"/>
    <s v="FX.OWN.TOTL.MA.ZS"/>
    <m/>
    <m/>
    <n v="100"/>
    <m/>
    <m/>
    <n v="100"/>
  </r>
  <r>
    <x v="112"/>
    <s v="CHE"/>
    <x v="3"/>
    <s v="FX.OWN.TOTL.40.ZS"/>
    <m/>
    <m/>
    <n v="99.49"/>
    <m/>
    <m/>
    <n v="99.49"/>
  </r>
  <r>
    <x v="112"/>
    <s v="CHE"/>
    <x v="4"/>
    <s v="FX.OWN.TOTL.YG.ZS"/>
    <m/>
    <m/>
    <n v="100"/>
    <m/>
    <m/>
    <n v="100"/>
  </r>
  <r>
    <x v="112"/>
    <s v="CHE"/>
    <x v="5"/>
    <s v="FX.OWN.TOTL.PL.ZS"/>
    <m/>
    <m/>
    <n v="98.54"/>
    <m/>
    <m/>
    <n v="98.54"/>
  </r>
  <r>
    <x v="112"/>
    <s v="CHE"/>
    <x v="6"/>
    <s v="SL.TLF.0714.WK.TM"/>
    <m/>
    <m/>
    <m/>
    <m/>
    <m/>
    <n v="0"/>
  </r>
  <r>
    <x v="112"/>
    <s v="CHE"/>
    <x v="7"/>
    <s v="IC.FRM.BRIB.ZS"/>
    <m/>
    <m/>
    <m/>
    <m/>
    <m/>
    <n v="0"/>
  </r>
  <r>
    <x v="112"/>
    <s v="CHE"/>
    <x v="8"/>
    <s v="IC.BUS.DISC.XQ"/>
    <n v="0"/>
    <m/>
    <m/>
    <m/>
    <m/>
    <n v="0"/>
  </r>
  <r>
    <x v="112"/>
    <s v="CHE"/>
    <x v="9"/>
    <s v="GC.DOD.TOTL.GD.ZS"/>
    <n v="18.954259806668201"/>
    <n v="20.852107673759601"/>
    <n v="19.9857790162513"/>
    <n v="17.802863915924799"/>
    <m/>
    <n v="20.852107673759601"/>
  </r>
  <r>
    <x v="112"/>
    <s v="CHE"/>
    <x v="10"/>
    <s v="SE.COM.DURS"/>
    <n v="11"/>
    <n v="11"/>
    <n v="11"/>
    <n v="11"/>
    <n v="11"/>
    <n v="11"/>
  </r>
  <r>
    <x v="112"/>
    <s v="CHE"/>
    <x v="11"/>
    <s v="CC.PER.RNK"/>
    <n v="96.666664123535199"/>
    <n v="97.142860412597699"/>
    <n v="96.666664123535199"/>
    <n v="97.169815063476605"/>
    <n v="97.169815063476605"/>
    <n v="97.169815063476605"/>
  </r>
  <r>
    <x v="112"/>
    <s v="CHE"/>
    <x v="12"/>
    <s v="per_sa_allsa.cov_pop_tot"/>
    <m/>
    <m/>
    <m/>
    <m/>
    <m/>
    <n v="0"/>
  </r>
  <r>
    <x v="112"/>
    <s v="CHE"/>
    <x v="13"/>
    <s v="per_si_allsi.cov_q1_tot"/>
    <m/>
    <m/>
    <m/>
    <m/>
    <m/>
    <n v="0"/>
  </r>
  <r>
    <x v="112"/>
    <s v="CHE"/>
    <x v="14"/>
    <s v="SP.DYN.TO65.FE.ZS"/>
    <n v="94.329486000000003"/>
    <n v="94.311598000000004"/>
    <n v="94.338857000000004"/>
    <n v="94.406327000000005"/>
    <m/>
    <n v="94.406327000000005"/>
  </r>
  <r>
    <x v="112"/>
    <s v="CHE"/>
    <x v="15"/>
    <s v="SP.POP.TECH.RD.P6"/>
    <m/>
    <m/>
    <m/>
    <m/>
    <m/>
    <n v="0"/>
  </r>
  <r>
    <x v="112"/>
    <s v="CHE"/>
    <x v="16"/>
    <s v="IC.REG.DURS"/>
    <n v="10"/>
    <m/>
    <m/>
    <m/>
    <m/>
    <n v="10"/>
  </r>
  <r>
    <x v="113"/>
    <s v="SWE"/>
    <x v="0"/>
    <s v="FX.OWN.TOTL.ZS"/>
    <m/>
    <m/>
    <n v="99.69"/>
    <m/>
    <m/>
    <n v="99.69"/>
  </r>
  <r>
    <x v="113"/>
    <s v="SWE"/>
    <x v="1"/>
    <s v="FX.OWN.TOTL.FE.ZS"/>
    <m/>
    <m/>
    <n v="100"/>
    <m/>
    <m/>
    <n v="100"/>
  </r>
  <r>
    <x v="113"/>
    <s v="SWE"/>
    <x v="2"/>
    <s v="FX.OWN.TOTL.MA.ZS"/>
    <m/>
    <m/>
    <n v="99.39"/>
    <m/>
    <m/>
    <n v="99.39"/>
  </r>
  <r>
    <x v="113"/>
    <s v="SWE"/>
    <x v="3"/>
    <s v="FX.OWN.TOTL.40.ZS"/>
    <m/>
    <m/>
    <n v="99.22"/>
    <m/>
    <m/>
    <n v="99.22"/>
  </r>
  <r>
    <x v="113"/>
    <s v="SWE"/>
    <x v="4"/>
    <s v="FX.OWN.TOTL.YG.ZS"/>
    <m/>
    <m/>
    <n v="100"/>
    <m/>
    <m/>
    <n v="100"/>
  </r>
  <r>
    <x v="113"/>
    <s v="SWE"/>
    <x v="5"/>
    <s v="FX.OWN.TOTL.PL.ZS"/>
    <m/>
    <m/>
    <n v="100"/>
    <m/>
    <m/>
    <n v="100"/>
  </r>
  <r>
    <x v="113"/>
    <s v="SWE"/>
    <x v="6"/>
    <s v="SL.TLF.0714.WK.TM"/>
    <m/>
    <m/>
    <m/>
    <m/>
    <m/>
    <n v="0"/>
  </r>
  <r>
    <x v="113"/>
    <s v="SWE"/>
    <x v="7"/>
    <s v="IC.FRM.BRIB.ZS"/>
    <m/>
    <n v="0"/>
    <m/>
    <m/>
    <m/>
    <n v="0"/>
  </r>
  <r>
    <x v="113"/>
    <s v="SWE"/>
    <x v="8"/>
    <s v="IC.BUS.DISC.XQ"/>
    <n v="8"/>
    <m/>
    <m/>
    <m/>
    <m/>
    <n v="8"/>
  </r>
  <r>
    <x v="113"/>
    <s v="SWE"/>
    <x v="9"/>
    <s v="GC.DOD.TOTL.GD.ZS"/>
    <n v="38.794816987100099"/>
    <n v="44.178006754859297"/>
    <n v="40.655085312091302"/>
    <n v="36.910351562799697"/>
    <m/>
    <n v="44.178006754859297"/>
  </r>
  <r>
    <x v="113"/>
    <s v="SWE"/>
    <x v="10"/>
    <s v="SE.COM.DURS"/>
    <n v="10"/>
    <n v="10"/>
    <n v="10"/>
    <n v="10"/>
    <n v="10"/>
    <n v="10"/>
  </r>
  <r>
    <x v="113"/>
    <s v="SWE"/>
    <x v="11"/>
    <s v="CC.PER.RNK"/>
    <n v="98.095237731933594"/>
    <n v="98.095237731933594"/>
    <n v="97.619049072265597"/>
    <n v="97.641510009765597"/>
    <n v="97.641510009765597"/>
    <n v="98.095237731933594"/>
  </r>
  <r>
    <x v="113"/>
    <s v="SWE"/>
    <x v="12"/>
    <s v="per_sa_allsa.cov_pop_tot"/>
    <m/>
    <m/>
    <m/>
    <m/>
    <m/>
    <n v="0"/>
  </r>
  <r>
    <x v="113"/>
    <s v="SWE"/>
    <x v="13"/>
    <s v="per_si_allsi.cov_q1_tot"/>
    <m/>
    <m/>
    <m/>
    <m/>
    <m/>
    <n v="0"/>
  </r>
  <r>
    <x v="113"/>
    <s v="SWE"/>
    <x v="14"/>
    <s v="SP.DYN.TO65.FE.ZS"/>
    <n v="93.636600999999999"/>
    <n v="93.802505999999994"/>
    <n v="93.868146999999993"/>
    <n v="93.968680000000006"/>
    <m/>
    <n v="93.968680000000006"/>
  </r>
  <r>
    <x v="113"/>
    <s v="SWE"/>
    <x v="15"/>
    <s v="SP.POP.TECH.RD.P6"/>
    <m/>
    <m/>
    <m/>
    <m/>
    <m/>
    <n v="0"/>
  </r>
  <r>
    <x v="113"/>
    <s v="SWE"/>
    <x v="16"/>
    <s v="IC.REG.DURS"/>
    <n v="7.5"/>
    <m/>
    <m/>
    <m/>
    <m/>
    <n v="7.5"/>
  </r>
  <r>
    <x v="114"/>
    <s v="SYR"/>
    <x v="0"/>
    <s v="FX.OWN.TOTL.ZS"/>
    <m/>
    <m/>
    <m/>
    <m/>
    <m/>
    <n v="0"/>
  </r>
  <r>
    <x v="114"/>
    <s v="SYR"/>
    <x v="1"/>
    <s v="FX.OWN.TOTL.FE.ZS"/>
    <m/>
    <m/>
    <m/>
    <m/>
    <m/>
    <n v="0"/>
  </r>
  <r>
    <x v="114"/>
    <s v="SYR"/>
    <x v="2"/>
    <s v="FX.OWN.TOTL.MA.ZS"/>
    <m/>
    <m/>
    <m/>
    <m/>
    <m/>
    <n v="0"/>
  </r>
  <r>
    <x v="114"/>
    <s v="SYR"/>
    <x v="3"/>
    <s v="FX.OWN.TOTL.40.ZS"/>
    <m/>
    <m/>
    <m/>
    <m/>
    <m/>
    <n v="0"/>
  </r>
  <r>
    <x v="114"/>
    <s v="SYR"/>
    <x v="4"/>
    <s v="FX.OWN.TOTL.YG.ZS"/>
    <m/>
    <m/>
    <m/>
    <m/>
    <m/>
    <n v="0"/>
  </r>
  <r>
    <x v="114"/>
    <s v="SYR"/>
    <x v="5"/>
    <s v="FX.OWN.TOTL.PL.ZS"/>
    <m/>
    <m/>
    <m/>
    <m/>
    <m/>
    <n v="0"/>
  </r>
  <r>
    <x v="114"/>
    <s v="SYR"/>
    <x v="6"/>
    <s v="SL.TLF.0714.WK.TM"/>
    <m/>
    <m/>
    <m/>
    <m/>
    <m/>
    <n v="0"/>
  </r>
  <r>
    <x v="114"/>
    <s v="SYR"/>
    <x v="7"/>
    <s v="IC.FRM.BRIB.ZS"/>
    <m/>
    <m/>
    <m/>
    <m/>
    <m/>
    <n v="0"/>
  </r>
  <r>
    <x v="114"/>
    <s v="SYR"/>
    <x v="8"/>
    <s v="IC.BUS.DISC.XQ"/>
    <n v="7"/>
    <m/>
    <m/>
    <m/>
    <m/>
    <n v="7"/>
  </r>
  <r>
    <x v="114"/>
    <s v="SYR"/>
    <x v="9"/>
    <s v="GC.DOD.TOTL.GD.ZS"/>
    <m/>
    <m/>
    <m/>
    <m/>
    <m/>
    <n v="0"/>
  </r>
  <r>
    <x v="114"/>
    <s v="SYR"/>
    <x v="10"/>
    <s v="SE.COM.DURS"/>
    <n v="9"/>
    <n v="9"/>
    <n v="9"/>
    <n v="9"/>
    <n v="9"/>
    <n v="9"/>
  </r>
  <r>
    <x v="114"/>
    <s v="SYR"/>
    <x v="11"/>
    <s v="CC.PER.RNK"/>
    <n v="1.42857146263123"/>
    <n v="0.47619047760963401"/>
    <n v="0.47619047760963401"/>
    <n v="0.94339621067047097"/>
    <n v="0.47169810533523598"/>
    <n v="1.42857146263123"/>
  </r>
  <r>
    <x v="114"/>
    <s v="SYR"/>
    <x v="12"/>
    <s v="per_sa_allsa.cov_pop_tot"/>
    <m/>
    <m/>
    <m/>
    <m/>
    <m/>
    <n v="0"/>
  </r>
  <r>
    <x v="114"/>
    <s v="SYR"/>
    <x v="13"/>
    <s v="per_si_allsi.cov_q1_tot"/>
    <m/>
    <m/>
    <m/>
    <m/>
    <m/>
    <n v="0"/>
  </r>
  <r>
    <x v="114"/>
    <s v="SYR"/>
    <x v="14"/>
    <s v="SP.DYN.TO65.FE.ZS"/>
    <n v="81.724759000000006"/>
    <n v="82.625803000000005"/>
    <n v="82.244178000000005"/>
    <n v="83.325704999999999"/>
    <m/>
    <n v="83.325704999999999"/>
  </r>
  <r>
    <x v="114"/>
    <s v="SYR"/>
    <x v="15"/>
    <s v="SP.POP.TECH.RD.P6"/>
    <m/>
    <m/>
    <m/>
    <m/>
    <m/>
    <n v="0"/>
  </r>
  <r>
    <x v="114"/>
    <s v="SYR"/>
    <x v="16"/>
    <s v="IC.REG.DURS"/>
    <n v="15.5"/>
    <m/>
    <m/>
    <m/>
    <m/>
    <n v="15.5"/>
  </r>
  <r>
    <x v="115"/>
    <s v="TJK"/>
    <x v="0"/>
    <s v="FX.OWN.TOTL.ZS"/>
    <m/>
    <m/>
    <n v="39.49"/>
    <m/>
    <m/>
    <n v="39.49"/>
  </r>
  <r>
    <x v="115"/>
    <s v="TJK"/>
    <x v="1"/>
    <s v="FX.OWN.TOTL.FE.ZS"/>
    <m/>
    <m/>
    <n v="39.409999999999997"/>
    <m/>
    <m/>
    <n v="39.409999999999997"/>
  </r>
  <r>
    <x v="115"/>
    <s v="TJK"/>
    <x v="2"/>
    <s v="FX.OWN.TOTL.MA.ZS"/>
    <m/>
    <m/>
    <n v="39.57"/>
    <m/>
    <m/>
    <n v="39.57"/>
  </r>
  <r>
    <x v="115"/>
    <s v="TJK"/>
    <x v="3"/>
    <s v="FX.OWN.TOTL.40.ZS"/>
    <m/>
    <m/>
    <n v="38.229999999999997"/>
    <m/>
    <m/>
    <n v="38.229999999999997"/>
  </r>
  <r>
    <x v="115"/>
    <s v="TJK"/>
    <x v="4"/>
    <s v="FX.OWN.TOTL.YG.ZS"/>
    <m/>
    <m/>
    <n v="18.079999999999998"/>
    <m/>
    <m/>
    <n v="18.079999999999998"/>
  </r>
  <r>
    <x v="115"/>
    <s v="TJK"/>
    <x v="5"/>
    <s v="FX.OWN.TOTL.PL.ZS"/>
    <m/>
    <m/>
    <n v="32.17"/>
    <m/>
    <m/>
    <n v="32.17"/>
  </r>
  <r>
    <x v="115"/>
    <s v="TJK"/>
    <x v="6"/>
    <s v="SL.TLF.0714.WK.TM"/>
    <m/>
    <m/>
    <m/>
    <m/>
    <m/>
    <n v="0"/>
  </r>
  <r>
    <x v="115"/>
    <s v="TJK"/>
    <x v="7"/>
    <s v="IC.FRM.BRIB.ZS"/>
    <n v="11.1"/>
    <m/>
    <m/>
    <m/>
    <m/>
    <n v="11.1"/>
  </r>
  <r>
    <x v="115"/>
    <s v="TJK"/>
    <x v="8"/>
    <s v="IC.BUS.DISC.XQ"/>
    <n v="8"/>
    <m/>
    <m/>
    <m/>
    <m/>
    <n v="8"/>
  </r>
  <r>
    <x v="115"/>
    <s v="TJK"/>
    <x v="9"/>
    <s v="GC.DOD.TOTL.GD.ZS"/>
    <m/>
    <m/>
    <m/>
    <m/>
    <m/>
    <n v="0"/>
  </r>
  <r>
    <x v="115"/>
    <s v="TJK"/>
    <x v="10"/>
    <s v="SE.COM.DURS"/>
    <n v="9"/>
    <n v="9"/>
    <n v="9"/>
    <n v="9"/>
    <n v="9"/>
    <n v="9"/>
  </r>
  <r>
    <x v="115"/>
    <s v="TJK"/>
    <x v="11"/>
    <s v="CC.PER.RNK"/>
    <n v="9.0476188659668004"/>
    <n v="8.0952377319335902"/>
    <n v="6.6666665077209499"/>
    <n v="6.1320753097534197"/>
    <n v="7.5471696853637704"/>
    <n v="9.0476188659668004"/>
  </r>
  <r>
    <x v="115"/>
    <s v="TJK"/>
    <x v="12"/>
    <s v="per_sa_allsa.cov_pop_tot"/>
    <m/>
    <m/>
    <m/>
    <m/>
    <m/>
    <n v="0"/>
  </r>
  <r>
    <x v="115"/>
    <s v="TJK"/>
    <x v="13"/>
    <s v="per_si_allsi.cov_q1_tot"/>
    <m/>
    <m/>
    <m/>
    <m/>
    <m/>
    <n v="0"/>
  </r>
  <r>
    <x v="115"/>
    <s v="TJK"/>
    <x v="14"/>
    <s v="SP.DYN.TO65.FE.ZS"/>
    <n v="80.126784000000001"/>
    <n v="76.210536000000005"/>
    <n v="77.360872000000001"/>
    <n v="81.096016000000006"/>
    <m/>
    <n v="81.096016000000006"/>
  </r>
  <r>
    <x v="115"/>
    <s v="TJK"/>
    <x v="15"/>
    <s v="SP.POP.TECH.RD.P6"/>
    <m/>
    <m/>
    <m/>
    <m/>
    <m/>
    <n v="0"/>
  </r>
  <r>
    <x v="115"/>
    <s v="TJK"/>
    <x v="16"/>
    <s v="IC.REG.DURS"/>
    <n v="7"/>
    <m/>
    <m/>
    <m/>
    <m/>
    <n v="7"/>
  </r>
  <r>
    <x v="116"/>
    <s v="THA"/>
    <x v="0"/>
    <s v="FX.OWN.TOTL.ZS"/>
    <m/>
    <m/>
    <n v="95.58"/>
    <m/>
    <m/>
    <n v="95.58"/>
  </r>
  <r>
    <x v="116"/>
    <s v="THA"/>
    <x v="1"/>
    <s v="FX.OWN.TOTL.FE.ZS"/>
    <m/>
    <m/>
    <n v="92.7"/>
    <m/>
    <m/>
    <n v="92.7"/>
  </r>
  <r>
    <x v="116"/>
    <s v="THA"/>
    <x v="2"/>
    <s v="FX.OWN.TOTL.MA.ZS"/>
    <m/>
    <m/>
    <n v="98.61"/>
    <m/>
    <m/>
    <n v="98.61"/>
  </r>
  <r>
    <x v="116"/>
    <s v="THA"/>
    <x v="3"/>
    <s v="FX.OWN.TOTL.40.ZS"/>
    <m/>
    <m/>
    <n v="97.68"/>
    <m/>
    <m/>
    <n v="97.68"/>
  </r>
  <r>
    <x v="116"/>
    <s v="THA"/>
    <x v="4"/>
    <s v="FX.OWN.TOTL.YG.ZS"/>
    <m/>
    <m/>
    <n v="97"/>
    <m/>
    <m/>
    <n v="97"/>
  </r>
  <r>
    <x v="116"/>
    <s v="THA"/>
    <x v="5"/>
    <s v="FX.OWN.TOTL.PL.ZS"/>
    <m/>
    <m/>
    <n v="93.47"/>
    <m/>
    <m/>
    <n v="93.47"/>
  </r>
  <r>
    <x v="116"/>
    <s v="THA"/>
    <x v="6"/>
    <s v="SL.TLF.0714.WK.TM"/>
    <m/>
    <m/>
    <m/>
    <m/>
    <m/>
    <n v="0"/>
  </r>
  <r>
    <x v="116"/>
    <s v="THA"/>
    <x v="7"/>
    <s v="IC.FRM.BRIB.ZS"/>
    <m/>
    <m/>
    <m/>
    <m/>
    <m/>
    <n v="0"/>
  </r>
  <r>
    <x v="116"/>
    <s v="THA"/>
    <x v="8"/>
    <s v="IC.BUS.DISC.XQ"/>
    <n v="10"/>
    <m/>
    <m/>
    <m/>
    <m/>
    <n v="10"/>
  </r>
  <r>
    <x v="116"/>
    <s v="THA"/>
    <x v="9"/>
    <s v="GC.DOD.TOTL.GD.ZS"/>
    <n v="38.627705594127903"/>
    <n v="50.322781499941499"/>
    <n v="58.504308615482799"/>
    <n v="60.349857679372498"/>
    <n v="61.235648256074398"/>
    <n v="61.235648256074398"/>
  </r>
  <r>
    <x v="116"/>
    <s v="THA"/>
    <x v="10"/>
    <s v="SE.COM.DURS"/>
    <n v="9"/>
    <n v="9"/>
    <n v="9"/>
    <n v="9"/>
    <n v="9"/>
    <n v="9"/>
  </r>
  <r>
    <x v="116"/>
    <s v="THA"/>
    <x v="11"/>
    <s v="CC.PER.RNK"/>
    <n v="35.714286804199197"/>
    <n v="35.238094329833999"/>
    <n v="34.761905670166001"/>
    <n v="35.849056243896499"/>
    <n v="35.849056243896499"/>
    <n v="35.849056243896499"/>
  </r>
  <r>
    <x v="116"/>
    <s v="THA"/>
    <x v="12"/>
    <s v="per_sa_allsa.cov_pop_tot"/>
    <n v="77.210040268291706"/>
    <m/>
    <m/>
    <m/>
    <m/>
    <n v="77.210040268291706"/>
  </r>
  <r>
    <x v="116"/>
    <s v="THA"/>
    <x v="13"/>
    <s v="per_si_allsi.cov_q1_tot"/>
    <n v="11.049456316854"/>
    <m/>
    <m/>
    <m/>
    <m/>
    <n v="11.049456316854"/>
  </r>
  <r>
    <x v="116"/>
    <s v="THA"/>
    <x v="14"/>
    <s v="SP.DYN.TO65.FE.ZS"/>
    <n v="87.259511000000003"/>
    <n v="87.415165999999999"/>
    <n v="87.878264999999999"/>
    <n v="84.821608999999995"/>
    <m/>
    <n v="87.878264999999999"/>
  </r>
  <r>
    <x v="116"/>
    <s v="THA"/>
    <x v="15"/>
    <s v="SP.POP.TECH.RD.P6"/>
    <m/>
    <m/>
    <m/>
    <m/>
    <m/>
    <n v="0"/>
  </r>
  <r>
    <x v="116"/>
    <s v="THA"/>
    <x v="16"/>
    <s v="IC.REG.DURS"/>
    <n v="6"/>
    <m/>
    <m/>
    <m/>
    <m/>
    <n v="6"/>
  </r>
  <r>
    <x v="117"/>
    <s v="TZA"/>
    <x v="0"/>
    <s v="FX.OWN.TOTL.ZS"/>
    <m/>
    <m/>
    <n v="52.43"/>
    <m/>
    <m/>
    <n v="52.43"/>
  </r>
  <r>
    <x v="117"/>
    <s v="TZA"/>
    <x v="1"/>
    <s v="FX.OWN.TOTL.FE.ZS"/>
    <m/>
    <m/>
    <n v="46.03"/>
    <m/>
    <m/>
    <n v="46.03"/>
  </r>
  <r>
    <x v="117"/>
    <s v="TZA"/>
    <x v="2"/>
    <s v="FX.OWN.TOTL.MA.ZS"/>
    <m/>
    <m/>
    <n v="59.37"/>
    <m/>
    <m/>
    <n v="59.37"/>
  </r>
  <r>
    <x v="117"/>
    <s v="TZA"/>
    <x v="3"/>
    <s v="FX.OWN.TOTL.40.ZS"/>
    <m/>
    <m/>
    <n v="39.020000000000003"/>
    <m/>
    <m/>
    <n v="39.020000000000003"/>
  </r>
  <r>
    <x v="117"/>
    <s v="TZA"/>
    <x v="4"/>
    <s v="FX.OWN.TOTL.YG.ZS"/>
    <m/>
    <m/>
    <n v="49.9"/>
    <m/>
    <m/>
    <n v="49.9"/>
  </r>
  <r>
    <x v="117"/>
    <s v="TZA"/>
    <x v="5"/>
    <s v="FX.OWN.TOTL.PL.ZS"/>
    <m/>
    <m/>
    <n v="46.7"/>
    <m/>
    <m/>
    <n v="46.7"/>
  </r>
  <r>
    <x v="117"/>
    <s v="TZA"/>
    <x v="6"/>
    <s v="SL.TLF.0714.WK.TM"/>
    <m/>
    <m/>
    <m/>
    <m/>
    <m/>
    <n v="0"/>
  </r>
  <r>
    <x v="117"/>
    <s v="TZA"/>
    <x v="7"/>
    <s v="IC.FRM.BRIB.ZS"/>
    <m/>
    <m/>
    <m/>
    <m/>
    <n v="6.9"/>
    <n v="6.9"/>
  </r>
  <r>
    <x v="117"/>
    <s v="TZA"/>
    <x v="8"/>
    <s v="IC.BUS.DISC.XQ"/>
    <n v="2"/>
    <m/>
    <m/>
    <m/>
    <m/>
    <n v="2"/>
  </r>
  <r>
    <x v="117"/>
    <s v="TZA"/>
    <x v="9"/>
    <s v="GC.DOD.TOTL.GD.ZS"/>
    <m/>
    <m/>
    <m/>
    <m/>
    <m/>
    <n v="0"/>
  </r>
  <r>
    <x v="117"/>
    <s v="TZA"/>
    <x v="10"/>
    <s v="SE.COM.DURS"/>
    <n v="7"/>
    <n v="7"/>
    <n v="7"/>
    <n v="7"/>
    <n v="7"/>
    <n v="7"/>
  </r>
  <r>
    <x v="117"/>
    <s v="TZA"/>
    <x v="11"/>
    <s v="CC.PER.RNK"/>
    <n v="38.5714302062988"/>
    <n v="39.047618865966797"/>
    <n v="40.476188659667997"/>
    <n v="41.981132507324197"/>
    <n v="43.867923736572301"/>
    <n v="43.867923736572301"/>
  </r>
  <r>
    <x v="117"/>
    <s v="TZA"/>
    <x v="12"/>
    <s v="per_sa_allsa.cov_pop_tot"/>
    <m/>
    <m/>
    <m/>
    <m/>
    <m/>
    <n v="0"/>
  </r>
  <r>
    <x v="117"/>
    <s v="TZA"/>
    <x v="13"/>
    <s v="per_si_allsi.cov_q1_tot"/>
    <m/>
    <m/>
    <m/>
    <m/>
    <m/>
    <n v="0"/>
  </r>
  <r>
    <x v="117"/>
    <s v="TZA"/>
    <x v="14"/>
    <s v="SP.DYN.TO65.FE.ZS"/>
    <n v="68.461364000000003"/>
    <n v="70.356630999999993"/>
    <n v="68.342314000000002"/>
    <n v="69.256505000000004"/>
    <m/>
    <n v="70.356630999999993"/>
  </r>
  <r>
    <x v="117"/>
    <s v="TZA"/>
    <x v="15"/>
    <s v="SP.POP.TECH.RD.P6"/>
    <m/>
    <m/>
    <m/>
    <m/>
    <m/>
    <n v="0"/>
  </r>
  <r>
    <x v="117"/>
    <s v="TZA"/>
    <x v="16"/>
    <s v="IC.REG.DURS"/>
    <n v="29.5"/>
    <m/>
    <m/>
    <m/>
    <m/>
    <n v="29.5"/>
  </r>
  <r>
    <x v="118"/>
    <s v="TTO"/>
    <x v="0"/>
    <s v="FX.OWN.TOTL.ZS"/>
    <m/>
    <m/>
    <m/>
    <m/>
    <m/>
    <n v="0"/>
  </r>
  <r>
    <x v="118"/>
    <s v="TTO"/>
    <x v="1"/>
    <s v="FX.OWN.TOTL.FE.ZS"/>
    <m/>
    <m/>
    <m/>
    <m/>
    <m/>
    <n v="0"/>
  </r>
  <r>
    <x v="118"/>
    <s v="TTO"/>
    <x v="2"/>
    <s v="FX.OWN.TOTL.MA.ZS"/>
    <m/>
    <m/>
    <m/>
    <m/>
    <m/>
    <n v="0"/>
  </r>
  <r>
    <x v="118"/>
    <s v="TTO"/>
    <x v="3"/>
    <s v="FX.OWN.TOTL.40.ZS"/>
    <m/>
    <m/>
    <m/>
    <m/>
    <m/>
    <n v="0"/>
  </r>
  <r>
    <x v="118"/>
    <s v="TTO"/>
    <x v="4"/>
    <s v="FX.OWN.TOTL.YG.ZS"/>
    <m/>
    <m/>
    <m/>
    <m/>
    <m/>
    <n v="0"/>
  </r>
  <r>
    <x v="118"/>
    <s v="TTO"/>
    <x v="5"/>
    <s v="FX.OWN.TOTL.PL.ZS"/>
    <m/>
    <m/>
    <m/>
    <m/>
    <m/>
    <n v="0"/>
  </r>
  <r>
    <x v="118"/>
    <s v="TTO"/>
    <x v="6"/>
    <s v="SL.TLF.0714.WK.TM"/>
    <m/>
    <m/>
    <m/>
    <m/>
    <m/>
    <n v="0"/>
  </r>
  <r>
    <x v="118"/>
    <s v="TTO"/>
    <x v="7"/>
    <s v="IC.FRM.BRIB.ZS"/>
    <m/>
    <m/>
    <m/>
    <m/>
    <m/>
    <n v="0"/>
  </r>
  <r>
    <x v="118"/>
    <s v="TTO"/>
    <x v="8"/>
    <s v="IC.BUS.DISC.XQ"/>
    <n v="4"/>
    <m/>
    <m/>
    <m/>
    <m/>
    <n v="4"/>
  </r>
  <r>
    <x v="118"/>
    <s v="TTO"/>
    <x v="9"/>
    <s v="GC.DOD.TOTL.GD.ZS"/>
    <m/>
    <m/>
    <m/>
    <m/>
    <m/>
    <n v="0"/>
  </r>
  <r>
    <x v="118"/>
    <s v="TTO"/>
    <x v="10"/>
    <s v="SE.COM.DURS"/>
    <n v="7"/>
    <n v="7"/>
    <n v="7"/>
    <n v="7"/>
    <n v="7"/>
    <n v="7"/>
  </r>
  <r>
    <x v="118"/>
    <s v="TTO"/>
    <x v="11"/>
    <s v="CC.PER.RNK"/>
    <n v="46.666667938232401"/>
    <n v="48.095237731933601"/>
    <n v="46.190475463867202"/>
    <n v="40.566036224365199"/>
    <n v="41.037734985351598"/>
    <n v="48.095237731933601"/>
  </r>
  <r>
    <x v="118"/>
    <s v="TTO"/>
    <x v="12"/>
    <s v="per_sa_allsa.cov_pop_tot"/>
    <m/>
    <m/>
    <m/>
    <m/>
    <m/>
    <n v="0"/>
  </r>
  <r>
    <x v="118"/>
    <s v="TTO"/>
    <x v="13"/>
    <s v="per_si_allsi.cov_q1_tot"/>
    <m/>
    <m/>
    <m/>
    <m/>
    <m/>
    <n v="0"/>
  </r>
  <r>
    <x v="118"/>
    <s v="TTO"/>
    <x v="14"/>
    <s v="SP.DYN.TO65.FE.ZS"/>
    <n v="82.612503000000004"/>
    <n v="82.586440999999994"/>
    <n v="79.457661999999999"/>
    <n v="83.336843000000002"/>
    <m/>
    <n v="83.336843000000002"/>
  </r>
  <r>
    <x v="118"/>
    <s v="TTO"/>
    <x v="15"/>
    <s v="SP.POP.TECH.RD.P6"/>
    <m/>
    <m/>
    <m/>
    <m/>
    <m/>
    <n v="0"/>
  </r>
  <r>
    <x v="118"/>
    <s v="TTO"/>
    <x v="16"/>
    <s v="IC.REG.DURS"/>
    <n v="10.5"/>
    <m/>
    <m/>
    <m/>
    <m/>
    <n v="10.5"/>
  </r>
  <r>
    <x v="119"/>
    <s v="TUN"/>
    <x v="0"/>
    <s v="FX.OWN.TOTL.ZS"/>
    <m/>
    <m/>
    <n v="36.85"/>
    <m/>
    <m/>
    <n v="36.85"/>
  </r>
  <r>
    <x v="119"/>
    <s v="TUN"/>
    <x v="1"/>
    <s v="FX.OWN.TOTL.FE.ZS"/>
    <m/>
    <m/>
    <n v="28.75"/>
    <m/>
    <m/>
    <n v="28.75"/>
  </r>
  <r>
    <x v="119"/>
    <s v="TUN"/>
    <x v="2"/>
    <s v="FX.OWN.TOTL.MA.ZS"/>
    <m/>
    <m/>
    <n v="45.14"/>
    <m/>
    <m/>
    <n v="45.14"/>
  </r>
  <r>
    <x v="119"/>
    <s v="TUN"/>
    <x v="3"/>
    <s v="FX.OWN.TOTL.40.ZS"/>
    <m/>
    <m/>
    <n v="32.020000000000003"/>
    <m/>
    <m/>
    <n v="32.020000000000003"/>
  </r>
  <r>
    <x v="119"/>
    <s v="TUN"/>
    <x v="4"/>
    <s v="FX.OWN.TOTL.YG.ZS"/>
    <m/>
    <m/>
    <n v="24.34"/>
    <m/>
    <m/>
    <n v="24.34"/>
  </r>
  <r>
    <x v="119"/>
    <s v="TUN"/>
    <x v="5"/>
    <s v="FX.OWN.TOTL.PL.ZS"/>
    <m/>
    <m/>
    <n v="29.26"/>
    <m/>
    <m/>
    <n v="29.26"/>
  </r>
  <r>
    <x v="119"/>
    <s v="TUN"/>
    <x v="6"/>
    <s v="SL.TLF.0714.WK.TM"/>
    <m/>
    <m/>
    <m/>
    <m/>
    <m/>
    <n v="0"/>
  </r>
  <r>
    <x v="119"/>
    <s v="TUN"/>
    <x v="7"/>
    <s v="IC.FRM.BRIB.ZS"/>
    <m/>
    <n v="11.9"/>
    <m/>
    <m/>
    <m/>
    <n v="11.9"/>
  </r>
  <r>
    <x v="119"/>
    <s v="TUN"/>
    <x v="8"/>
    <s v="IC.BUS.DISC.XQ"/>
    <n v="6"/>
    <m/>
    <m/>
    <m/>
    <m/>
    <n v="6"/>
  </r>
  <r>
    <x v="119"/>
    <s v="TUN"/>
    <x v="9"/>
    <s v="GC.DOD.TOTL.GD.ZS"/>
    <m/>
    <m/>
    <m/>
    <m/>
    <m/>
    <n v="0"/>
  </r>
  <r>
    <x v="119"/>
    <s v="TUN"/>
    <x v="10"/>
    <s v="SE.COM.DURS"/>
    <n v="9"/>
    <n v="9"/>
    <n v="9"/>
    <n v="9"/>
    <n v="9"/>
    <n v="9"/>
  </r>
  <r>
    <x v="119"/>
    <s v="TUN"/>
    <x v="11"/>
    <s v="CC.PER.RNK"/>
    <n v="50.952381134033203"/>
    <n v="50.952381134033203"/>
    <n v="46.666667938232401"/>
    <n v="45.2830200195312"/>
    <n v="42.924530029296903"/>
    <n v="50.952381134033203"/>
  </r>
  <r>
    <x v="119"/>
    <s v="TUN"/>
    <x v="12"/>
    <s v="per_sa_allsa.cov_pop_tot"/>
    <m/>
    <m/>
    <m/>
    <m/>
    <m/>
    <n v="0"/>
  </r>
  <r>
    <x v="119"/>
    <s v="TUN"/>
    <x v="13"/>
    <s v="per_si_allsi.cov_q1_tot"/>
    <m/>
    <m/>
    <m/>
    <m/>
    <m/>
    <n v="0"/>
  </r>
  <r>
    <x v="119"/>
    <s v="TUN"/>
    <x v="14"/>
    <s v="SP.DYN.TO65.FE.ZS"/>
    <n v="88.775682000000003"/>
    <n v="88.098056"/>
    <n v="85.339398000000003"/>
    <n v="89.196151999999998"/>
    <m/>
    <n v="89.196151999999998"/>
  </r>
  <r>
    <x v="119"/>
    <s v="TUN"/>
    <x v="15"/>
    <s v="SP.POP.TECH.RD.P6"/>
    <m/>
    <m/>
    <m/>
    <m/>
    <m/>
    <n v="0"/>
  </r>
  <r>
    <x v="119"/>
    <s v="TUN"/>
    <x v="16"/>
    <s v="IC.REG.DURS"/>
    <n v="9"/>
    <m/>
    <m/>
    <m/>
    <m/>
    <n v="9"/>
  </r>
  <r>
    <x v="120"/>
    <s v="UGA"/>
    <x v="0"/>
    <s v="FX.OWN.TOTL.ZS"/>
    <m/>
    <m/>
    <n v="65.91"/>
    <m/>
    <m/>
    <n v="65.91"/>
  </r>
  <r>
    <x v="120"/>
    <s v="UGA"/>
    <x v="1"/>
    <s v="FX.OWN.TOTL.FE.ZS"/>
    <m/>
    <m/>
    <n v="65.06"/>
    <m/>
    <m/>
    <n v="65.06"/>
  </r>
  <r>
    <x v="120"/>
    <s v="UGA"/>
    <x v="2"/>
    <s v="FX.OWN.TOTL.MA.ZS"/>
    <m/>
    <m/>
    <n v="66.88"/>
    <m/>
    <m/>
    <n v="66.88"/>
  </r>
  <r>
    <x v="120"/>
    <s v="UGA"/>
    <x v="3"/>
    <s v="FX.OWN.TOTL.40.ZS"/>
    <m/>
    <m/>
    <n v="51.39"/>
    <m/>
    <m/>
    <n v="51.39"/>
  </r>
  <r>
    <x v="120"/>
    <s v="UGA"/>
    <x v="4"/>
    <s v="FX.OWN.TOTL.YG.ZS"/>
    <m/>
    <m/>
    <n v="62.65"/>
    <m/>
    <m/>
    <n v="62.65"/>
  </r>
  <r>
    <x v="120"/>
    <s v="UGA"/>
    <x v="5"/>
    <s v="FX.OWN.TOTL.PL.ZS"/>
    <m/>
    <m/>
    <n v="54.26"/>
    <m/>
    <m/>
    <n v="54.26"/>
  </r>
  <r>
    <x v="120"/>
    <s v="UGA"/>
    <x v="6"/>
    <s v="SL.TLF.0714.WK.TM"/>
    <m/>
    <m/>
    <m/>
    <m/>
    <m/>
    <n v="0"/>
  </r>
  <r>
    <x v="120"/>
    <s v="UGA"/>
    <x v="7"/>
    <s v="IC.FRM.BRIB.ZS"/>
    <m/>
    <m/>
    <m/>
    <m/>
    <m/>
    <n v="0"/>
  </r>
  <r>
    <x v="120"/>
    <s v="UGA"/>
    <x v="8"/>
    <s v="IC.BUS.DISC.XQ"/>
    <n v="3"/>
    <m/>
    <m/>
    <m/>
    <m/>
    <n v="3"/>
  </r>
  <r>
    <x v="120"/>
    <s v="UGA"/>
    <x v="9"/>
    <s v="GC.DOD.TOTL.GD.ZS"/>
    <n v="38.476945312033102"/>
    <n v="44.185914308992402"/>
    <n v="51.302662350019602"/>
    <n v="53.890283064004002"/>
    <m/>
    <n v="53.890283064004002"/>
  </r>
  <r>
    <x v="120"/>
    <s v="UGA"/>
    <x v="10"/>
    <s v="SE.COM.DURS"/>
    <n v="7"/>
    <n v="7"/>
    <n v="7"/>
    <n v="7"/>
    <n v="7"/>
    <n v="7"/>
  </r>
  <r>
    <x v="120"/>
    <s v="UGA"/>
    <x v="11"/>
    <s v="CC.PER.RNK"/>
    <n v="11.428571701049799"/>
    <n v="16.190475463867202"/>
    <n v="16.190475463867202"/>
    <n v="16.037734985351602"/>
    <n v="16.509433746337901"/>
    <n v="16.509433746337901"/>
  </r>
  <r>
    <x v="120"/>
    <s v="UGA"/>
    <x v="12"/>
    <s v="per_sa_allsa.cov_pop_tot"/>
    <m/>
    <m/>
    <m/>
    <m/>
    <m/>
    <n v="0"/>
  </r>
  <r>
    <x v="120"/>
    <s v="UGA"/>
    <x v="13"/>
    <s v="per_si_allsi.cov_q1_tot"/>
    <m/>
    <m/>
    <m/>
    <m/>
    <m/>
    <n v="0"/>
  </r>
  <r>
    <x v="120"/>
    <s v="UGA"/>
    <x v="14"/>
    <s v="SP.DYN.TO65.FE.ZS"/>
    <n v="67.111063999999999"/>
    <n v="67.784756999999999"/>
    <n v="67.019077999999993"/>
    <n v="69.601010000000002"/>
    <m/>
    <n v="69.601010000000002"/>
  </r>
  <r>
    <x v="120"/>
    <s v="UGA"/>
    <x v="15"/>
    <s v="SP.POP.TECH.RD.P6"/>
    <m/>
    <m/>
    <m/>
    <m/>
    <m/>
    <n v="0"/>
  </r>
  <r>
    <x v="120"/>
    <s v="UGA"/>
    <x v="16"/>
    <s v="IC.REG.DURS"/>
    <n v="24"/>
    <m/>
    <m/>
    <m/>
    <m/>
    <n v="24"/>
  </r>
  <r>
    <x v="121"/>
    <s v="UKR"/>
    <x v="0"/>
    <s v="FX.OWN.TOTL.ZS"/>
    <m/>
    <m/>
    <n v="83.56"/>
    <m/>
    <m/>
    <n v="83.56"/>
  </r>
  <r>
    <x v="121"/>
    <s v="UKR"/>
    <x v="1"/>
    <s v="FX.OWN.TOTL.FE.ZS"/>
    <m/>
    <m/>
    <n v="80.69"/>
    <m/>
    <m/>
    <n v="80.69"/>
  </r>
  <r>
    <x v="121"/>
    <s v="UKR"/>
    <x v="2"/>
    <s v="FX.OWN.TOTL.MA.ZS"/>
    <m/>
    <m/>
    <n v="87.07"/>
    <m/>
    <m/>
    <n v="87.07"/>
  </r>
  <r>
    <x v="121"/>
    <s v="UKR"/>
    <x v="3"/>
    <s v="FX.OWN.TOTL.40.ZS"/>
    <m/>
    <m/>
    <n v="79.73"/>
    <m/>
    <m/>
    <n v="79.73"/>
  </r>
  <r>
    <x v="121"/>
    <s v="UKR"/>
    <x v="4"/>
    <s v="FX.OWN.TOTL.YG.ZS"/>
    <m/>
    <m/>
    <n v="90.89"/>
    <m/>
    <m/>
    <n v="90.89"/>
  </r>
  <r>
    <x v="121"/>
    <s v="UKR"/>
    <x v="5"/>
    <s v="FX.OWN.TOTL.PL.ZS"/>
    <m/>
    <m/>
    <n v="44.94"/>
    <m/>
    <m/>
    <n v="44.94"/>
  </r>
  <r>
    <x v="121"/>
    <s v="UKR"/>
    <x v="6"/>
    <s v="SL.TLF.0714.WK.TM"/>
    <m/>
    <m/>
    <m/>
    <m/>
    <m/>
    <n v="0"/>
  </r>
  <r>
    <x v="121"/>
    <s v="UKR"/>
    <x v="7"/>
    <s v="IC.FRM.BRIB.ZS"/>
    <n v="37.4"/>
    <m/>
    <m/>
    <m/>
    <m/>
    <n v="37.4"/>
  </r>
  <r>
    <x v="121"/>
    <s v="UKR"/>
    <x v="8"/>
    <s v="IC.BUS.DISC.XQ"/>
    <n v="9"/>
    <m/>
    <m/>
    <m/>
    <m/>
    <n v="9"/>
  </r>
  <r>
    <x v="121"/>
    <s v="UKR"/>
    <x v="9"/>
    <s v="GC.DOD.TOTL.GD.ZS"/>
    <n v="48.3272696003568"/>
    <n v="58.716185073232602"/>
    <m/>
    <m/>
    <m/>
    <n v="58.716185073232602"/>
  </r>
  <r>
    <x v="121"/>
    <s v="UKR"/>
    <x v="10"/>
    <s v="SE.COM.DURS"/>
    <n v="11"/>
    <n v="11"/>
    <n v="11"/>
    <n v="11"/>
    <n v="11"/>
    <n v="11"/>
  </r>
  <r>
    <x v="121"/>
    <s v="UKR"/>
    <x v="11"/>
    <s v="CC.PER.RNK"/>
    <n v="24.761905670166001"/>
    <n v="22.857143402099599"/>
    <n v="24.2857151031494"/>
    <n v="29.245283126831101"/>
    <n v="25.943395614623999"/>
    <n v="29.245283126831101"/>
  </r>
  <r>
    <x v="121"/>
    <s v="UKR"/>
    <x v="12"/>
    <s v="per_sa_allsa.cov_pop_tot"/>
    <m/>
    <n v="36.7526966901492"/>
    <m/>
    <m/>
    <m/>
    <n v="36.7526966901492"/>
  </r>
  <r>
    <x v="121"/>
    <s v="UKR"/>
    <x v="13"/>
    <s v="per_si_allsi.cov_q1_tot"/>
    <m/>
    <n v="59.606289785485203"/>
    <m/>
    <m/>
    <m/>
    <n v="59.606289785485203"/>
  </r>
  <r>
    <x v="121"/>
    <s v="UKR"/>
    <x v="14"/>
    <s v="SP.DYN.TO65.FE.ZS"/>
    <n v="86.119178000000005"/>
    <n v="85.063732000000002"/>
    <n v="82.675405999999995"/>
    <n v="85.928165000000007"/>
    <m/>
    <n v="86.119178000000005"/>
  </r>
  <r>
    <x v="121"/>
    <s v="UKR"/>
    <x v="15"/>
    <s v="SP.POP.TECH.RD.P6"/>
    <m/>
    <m/>
    <m/>
    <m/>
    <m/>
    <n v="0"/>
  </r>
  <r>
    <x v="121"/>
    <s v="UKR"/>
    <x v="16"/>
    <s v="IC.REG.DURS"/>
    <n v="6.5"/>
    <m/>
    <m/>
    <m/>
    <m/>
    <n v="6.5"/>
  </r>
  <r>
    <x v="122"/>
    <s v="ARE"/>
    <x v="0"/>
    <s v="FX.OWN.TOTL.ZS"/>
    <m/>
    <m/>
    <n v="85.74"/>
    <m/>
    <m/>
    <n v="85.74"/>
  </r>
  <r>
    <x v="122"/>
    <s v="ARE"/>
    <x v="1"/>
    <s v="FX.OWN.TOTL.FE.ZS"/>
    <m/>
    <m/>
    <n v="86.68"/>
    <m/>
    <m/>
    <n v="86.68"/>
  </r>
  <r>
    <x v="122"/>
    <s v="ARE"/>
    <x v="2"/>
    <s v="FX.OWN.TOTL.MA.ZS"/>
    <m/>
    <m/>
    <n v="85.39"/>
    <m/>
    <m/>
    <n v="85.39"/>
  </r>
  <r>
    <x v="122"/>
    <s v="ARE"/>
    <x v="3"/>
    <s v="FX.OWN.TOTL.40.ZS"/>
    <m/>
    <m/>
    <n v="83.4"/>
    <m/>
    <m/>
    <n v="83.4"/>
  </r>
  <r>
    <x v="122"/>
    <s v="ARE"/>
    <x v="4"/>
    <s v="FX.OWN.TOTL.YG.ZS"/>
    <m/>
    <m/>
    <n v="79.430000000000007"/>
    <m/>
    <m/>
    <n v="79.430000000000007"/>
  </r>
  <r>
    <x v="122"/>
    <s v="ARE"/>
    <x v="5"/>
    <s v="FX.OWN.TOTL.PL.ZS"/>
    <m/>
    <m/>
    <n v="75.97"/>
    <m/>
    <m/>
    <n v="75.97"/>
  </r>
  <r>
    <x v="122"/>
    <s v="ARE"/>
    <x v="6"/>
    <s v="SL.TLF.0714.WK.TM"/>
    <m/>
    <m/>
    <m/>
    <m/>
    <m/>
    <n v="0"/>
  </r>
  <r>
    <x v="122"/>
    <s v="ARE"/>
    <x v="7"/>
    <s v="IC.FRM.BRIB.ZS"/>
    <m/>
    <m/>
    <m/>
    <m/>
    <m/>
    <n v="0"/>
  </r>
  <r>
    <x v="122"/>
    <s v="ARE"/>
    <x v="8"/>
    <s v="IC.BUS.DISC.XQ"/>
    <n v="10"/>
    <m/>
    <m/>
    <m/>
    <m/>
    <n v="10"/>
  </r>
  <r>
    <x v="122"/>
    <s v="ARE"/>
    <x v="9"/>
    <s v="GC.DOD.TOTL.GD.ZS"/>
    <m/>
    <m/>
    <m/>
    <m/>
    <m/>
    <n v="0"/>
  </r>
  <r>
    <x v="122"/>
    <s v="ARE"/>
    <x v="10"/>
    <s v="SE.COM.DURS"/>
    <n v="12"/>
    <n v="12"/>
    <n v="12"/>
    <n v="12"/>
    <n v="12"/>
    <n v="12"/>
  </r>
  <r>
    <x v="122"/>
    <s v="ARE"/>
    <x v="11"/>
    <s v="CC.PER.RNK"/>
    <n v="81.904762268066406"/>
    <n v="82.380950927734403"/>
    <n v="83.333335876464801"/>
    <n v="83.490562438964801"/>
    <n v="82.547172546386705"/>
    <n v="83.490562438964801"/>
  </r>
  <r>
    <x v="122"/>
    <s v="ARE"/>
    <x v="12"/>
    <s v="per_sa_allsa.cov_pop_tot"/>
    <m/>
    <m/>
    <m/>
    <m/>
    <m/>
    <n v="0"/>
  </r>
  <r>
    <x v="122"/>
    <s v="ARE"/>
    <x v="13"/>
    <s v="per_si_allsi.cov_q1_tot"/>
    <m/>
    <m/>
    <m/>
    <m/>
    <m/>
    <n v="0"/>
  </r>
  <r>
    <x v="122"/>
    <s v="ARE"/>
    <x v="14"/>
    <s v="SP.DYN.TO65.FE.ZS"/>
    <n v="95.993195999999998"/>
    <n v="95.579442999999998"/>
    <n v="94.619212000000005"/>
    <n v="95.309312000000006"/>
    <m/>
    <n v="95.993195999999998"/>
  </r>
  <r>
    <x v="122"/>
    <s v="ARE"/>
    <x v="15"/>
    <s v="SP.POP.TECH.RD.P6"/>
    <m/>
    <m/>
    <m/>
    <m/>
    <m/>
    <n v="0"/>
  </r>
  <r>
    <x v="122"/>
    <s v="ARE"/>
    <x v="16"/>
    <s v="IC.REG.DURS"/>
    <n v="3.8"/>
    <m/>
    <m/>
    <m/>
    <m/>
    <n v="3.8"/>
  </r>
  <r>
    <x v="123"/>
    <s v="GBR"/>
    <x v="0"/>
    <s v="FX.OWN.TOTL.ZS"/>
    <m/>
    <m/>
    <n v="99.76"/>
    <m/>
    <m/>
    <n v="99.76"/>
  </r>
  <r>
    <x v="123"/>
    <s v="GBR"/>
    <x v="1"/>
    <s v="FX.OWN.TOTL.FE.ZS"/>
    <m/>
    <m/>
    <n v="99.91"/>
    <m/>
    <m/>
    <n v="99.91"/>
  </r>
  <r>
    <x v="123"/>
    <s v="GBR"/>
    <x v="2"/>
    <s v="FX.OWN.TOTL.MA.ZS"/>
    <m/>
    <m/>
    <n v="99.61"/>
    <m/>
    <m/>
    <n v="99.61"/>
  </r>
  <r>
    <x v="123"/>
    <s v="GBR"/>
    <x v="3"/>
    <s v="FX.OWN.TOTL.40.ZS"/>
    <m/>
    <m/>
    <n v="99.57"/>
    <m/>
    <m/>
    <n v="99.57"/>
  </r>
  <r>
    <x v="123"/>
    <s v="GBR"/>
    <x v="4"/>
    <s v="FX.OWN.TOTL.YG.ZS"/>
    <m/>
    <m/>
    <n v="100"/>
    <m/>
    <m/>
    <n v="100"/>
  </r>
  <r>
    <x v="123"/>
    <s v="GBR"/>
    <x v="5"/>
    <s v="FX.OWN.TOTL.PL.ZS"/>
    <m/>
    <m/>
    <n v="98.33"/>
    <m/>
    <m/>
    <n v="98.33"/>
  </r>
  <r>
    <x v="123"/>
    <s v="GBR"/>
    <x v="6"/>
    <s v="SL.TLF.0714.WK.TM"/>
    <m/>
    <m/>
    <m/>
    <m/>
    <m/>
    <n v="0"/>
  </r>
  <r>
    <x v="123"/>
    <s v="GBR"/>
    <x v="7"/>
    <s v="IC.FRM.BRIB.ZS"/>
    <m/>
    <m/>
    <m/>
    <m/>
    <m/>
    <n v="0"/>
  </r>
  <r>
    <x v="123"/>
    <s v="GBR"/>
    <x v="8"/>
    <s v="IC.BUS.DISC.XQ"/>
    <n v="10"/>
    <m/>
    <m/>
    <m/>
    <m/>
    <n v="10"/>
  </r>
  <r>
    <x v="123"/>
    <s v="GBR"/>
    <x v="9"/>
    <s v="GC.DOD.TOTL.GD.ZS"/>
    <n v="160.32191827732501"/>
    <n v="196.640576642773"/>
    <n v="186.79491555088799"/>
    <n v="141.24439722802299"/>
    <n v="138.193489848821"/>
    <n v="196.640576642773"/>
  </r>
  <r>
    <x v="123"/>
    <s v="GBR"/>
    <x v="10"/>
    <s v="SE.COM.DURS"/>
    <n v="11"/>
    <n v="11"/>
    <n v="11"/>
    <n v="11"/>
    <n v="11"/>
    <n v="11"/>
  </r>
  <r>
    <x v="123"/>
    <s v="GBR"/>
    <x v="11"/>
    <s v="CC.PER.RNK"/>
    <n v="93.333335876464801"/>
    <n v="94.285713195800795"/>
    <n v="93.333335876464801"/>
    <n v="92.924530029296903"/>
    <n v="90.5660400390625"/>
    <n v="94.285713195800795"/>
  </r>
  <r>
    <x v="123"/>
    <s v="GBR"/>
    <x v="12"/>
    <s v="per_sa_allsa.cov_pop_tot"/>
    <m/>
    <m/>
    <m/>
    <m/>
    <m/>
    <n v="0"/>
  </r>
  <r>
    <x v="123"/>
    <s v="GBR"/>
    <x v="13"/>
    <s v="per_si_allsi.cov_q1_tot"/>
    <m/>
    <m/>
    <m/>
    <m/>
    <m/>
    <n v="0"/>
  </r>
  <r>
    <x v="123"/>
    <s v="GBR"/>
    <x v="14"/>
    <s v="SP.DYN.TO65.FE.ZS"/>
    <n v="91.361521999999994"/>
    <n v="90.745061000000007"/>
    <n v="90.662606999999994"/>
    <n v="90.958933000000002"/>
    <m/>
    <n v="91.361521999999994"/>
  </r>
  <r>
    <x v="123"/>
    <s v="GBR"/>
    <x v="15"/>
    <s v="SP.POP.TECH.RD.P6"/>
    <m/>
    <m/>
    <m/>
    <m/>
    <m/>
    <n v="0"/>
  </r>
  <r>
    <x v="123"/>
    <s v="GBR"/>
    <x v="16"/>
    <s v="IC.REG.DURS"/>
    <n v="4.5"/>
    <m/>
    <m/>
    <m/>
    <m/>
    <n v="4.5"/>
  </r>
  <r>
    <x v="124"/>
    <s v="USA"/>
    <x v="0"/>
    <s v="FX.OWN.TOTL.ZS"/>
    <m/>
    <m/>
    <n v="94.95"/>
    <m/>
    <m/>
    <n v="94.95"/>
  </r>
  <r>
    <x v="124"/>
    <s v="USA"/>
    <x v="1"/>
    <s v="FX.OWN.TOTL.FE.ZS"/>
    <m/>
    <m/>
    <n v="96.79"/>
    <m/>
    <m/>
    <n v="96.79"/>
  </r>
  <r>
    <x v="124"/>
    <s v="USA"/>
    <x v="2"/>
    <s v="FX.OWN.TOTL.MA.ZS"/>
    <m/>
    <m/>
    <n v="93.09"/>
    <m/>
    <m/>
    <n v="93.09"/>
  </r>
  <r>
    <x v="124"/>
    <s v="USA"/>
    <x v="3"/>
    <s v="FX.OWN.TOTL.40.ZS"/>
    <m/>
    <m/>
    <n v="91.25"/>
    <m/>
    <m/>
    <n v="91.25"/>
  </r>
  <r>
    <x v="124"/>
    <s v="USA"/>
    <x v="4"/>
    <s v="FX.OWN.TOTL.YG.ZS"/>
    <m/>
    <m/>
    <n v="93.8"/>
    <m/>
    <m/>
    <n v="93.8"/>
  </r>
  <r>
    <x v="124"/>
    <s v="USA"/>
    <x v="5"/>
    <s v="FX.OWN.TOTL.PL.ZS"/>
    <m/>
    <m/>
    <n v="57.72"/>
    <m/>
    <m/>
    <n v="57.72"/>
  </r>
  <r>
    <x v="124"/>
    <s v="USA"/>
    <x v="6"/>
    <s v="SL.TLF.0714.WK.TM"/>
    <m/>
    <m/>
    <m/>
    <m/>
    <m/>
    <n v="0"/>
  </r>
  <r>
    <x v="124"/>
    <s v="USA"/>
    <x v="7"/>
    <s v="IC.FRM.BRIB.ZS"/>
    <m/>
    <m/>
    <m/>
    <m/>
    <m/>
    <n v="0"/>
  </r>
  <r>
    <x v="124"/>
    <s v="USA"/>
    <x v="8"/>
    <s v="IC.BUS.DISC.XQ"/>
    <n v="7.4"/>
    <m/>
    <m/>
    <m/>
    <m/>
    <n v="7.4"/>
  </r>
  <r>
    <x v="124"/>
    <s v="USA"/>
    <x v="9"/>
    <s v="GC.DOD.TOTL.GD.ZS"/>
    <n v="100.032349144953"/>
    <n v="124.550890800621"/>
    <n v="118.450755665757"/>
    <n v="112.889632760053"/>
    <n v="114.877162773867"/>
    <n v="124.550890800621"/>
  </r>
  <r>
    <x v="124"/>
    <s v="USA"/>
    <x v="10"/>
    <s v="SE.COM.DURS"/>
    <n v="12"/>
    <n v="12"/>
    <n v="12"/>
    <n v="12"/>
    <n v="12"/>
    <n v="12"/>
  </r>
  <r>
    <x v="124"/>
    <s v="USA"/>
    <x v="11"/>
    <s v="CC.PER.RNK"/>
    <n v="87.619049072265597"/>
    <n v="81.904762268066406"/>
    <n v="82.857139587402301"/>
    <n v="82.547172546386705"/>
    <n v="83.018867492675795"/>
    <n v="87.619049072265597"/>
  </r>
  <r>
    <x v="124"/>
    <s v="USA"/>
    <x v="12"/>
    <s v="per_sa_allsa.cov_pop_tot"/>
    <m/>
    <m/>
    <m/>
    <m/>
    <m/>
    <n v="0"/>
  </r>
  <r>
    <x v="124"/>
    <s v="USA"/>
    <x v="13"/>
    <s v="per_si_allsi.cov_q1_tot"/>
    <m/>
    <m/>
    <m/>
    <m/>
    <m/>
    <n v="0"/>
  </r>
  <r>
    <x v="124"/>
    <s v="USA"/>
    <x v="14"/>
    <s v="SP.DYN.TO65.FE.ZS"/>
    <n v="87.818218999999999"/>
    <n v="86.083526000000006"/>
    <n v="84.585182000000003"/>
    <n v="86.451240999999996"/>
    <m/>
    <n v="87.818218999999999"/>
  </r>
  <r>
    <x v="124"/>
    <s v="USA"/>
    <x v="15"/>
    <s v="SP.POP.TECH.RD.P6"/>
    <m/>
    <m/>
    <m/>
    <m/>
    <m/>
    <n v="0"/>
  </r>
  <r>
    <x v="124"/>
    <s v="USA"/>
    <x v="16"/>
    <s v="IC.REG.DURS"/>
    <n v="4.2"/>
    <m/>
    <m/>
    <m/>
    <m/>
    <n v="4.2"/>
  </r>
  <r>
    <x v="125"/>
    <s v="URY"/>
    <x v="0"/>
    <s v="FX.OWN.TOTL.ZS"/>
    <m/>
    <m/>
    <n v="74.13"/>
    <m/>
    <m/>
    <n v="74.13"/>
  </r>
  <r>
    <x v="125"/>
    <s v="URY"/>
    <x v="1"/>
    <s v="FX.OWN.TOTL.FE.ZS"/>
    <m/>
    <m/>
    <n v="75.73"/>
    <m/>
    <m/>
    <n v="75.73"/>
  </r>
  <r>
    <x v="125"/>
    <s v="URY"/>
    <x v="2"/>
    <s v="FX.OWN.TOTL.MA.ZS"/>
    <m/>
    <m/>
    <n v="72.349999999999994"/>
    <m/>
    <m/>
    <n v="72.349999999999994"/>
  </r>
  <r>
    <x v="125"/>
    <s v="URY"/>
    <x v="3"/>
    <s v="FX.OWN.TOTL.40.ZS"/>
    <m/>
    <m/>
    <n v="63.23"/>
    <m/>
    <m/>
    <n v="63.23"/>
  </r>
  <r>
    <x v="125"/>
    <s v="URY"/>
    <x v="4"/>
    <s v="FX.OWN.TOTL.YG.ZS"/>
    <m/>
    <m/>
    <n v="59.46"/>
    <m/>
    <m/>
    <n v="59.46"/>
  </r>
  <r>
    <x v="125"/>
    <s v="URY"/>
    <x v="5"/>
    <s v="FX.OWN.TOTL.PL.ZS"/>
    <m/>
    <m/>
    <n v="65.36"/>
    <m/>
    <m/>
    <n v="65.36"/>
  </r>
  <r>
    <x v="125"/>
    <s v="URY"/>
    <x v="6"/>
    <s v="SL.TLF.0714.WK.TM"/>
    <m/>
    <m/>
    <m/>
    <m/>
    <m/>
    <n v="0"/>
  </r>
  <r>
    <x v="125"/>
    <s v="URY"/>
    <x v="7"/>
    <s v="IC.FRM.BRIB.ZS"/>
    <m/>
    <m/>
    <m/>
    <m/>
    <m/>
    <n v="0"/>
  </r>
  <r>
    <x v="125"/>
    <s v="URY"/>
    <x v="8"/>
    <s v="IC.BUS.DISC.XQ"/>
    <n v="3"/>
    <m/>
    <m/>
    <m/>
    <m/>
    <n v="3"/>
  </r>
  <r>
    <x v="125"/>
    <s v="URY"/>
    <x v="9"/>
    <s v="GC.DOD.TOTL.GD.ZS"/>
    <n v="50.131439362021702"/>
    <n v="60.278431865455403"/>
    <m/>
    <m/>
    <m/>
    <n v="60.278431865455403"/>
  </r>
  <r>
    <x v="125"/>
    <s v="URY"/>
    <x v="10"/>
    <s v="SE.COM.DURS"/>
    <n v="14"/>
    <n v="14"/>
    <n v="14"/>
    <n v="14"/>
    <n v="14"/>
    <n v="14"/>
  </r>
  <r>
    <x v="125"/>
    <s v="URY"/>
    <x v="11"/>
    <s v="CC.PER.RNK"/>
    <n v="88.095237731933594"/>
    <n v="89.047622680664105"/>
    <n v="91.428573608398395"/>
    <n v="91.981132507324205"/>
    <n v="92.452827453613295"/>
    <n v="92.452827453613295"/>
  </r>
  <r>
    <x v="125"/>
    <s v="URY"/>
    <x v="12"/>
    <s v="per_sa_allsa.cov_pop_tot"/>
    <n v="59.535378657606998"/>
    <n v="44.230327548883899"/>
    <m/>
    <m/>
    <m/>
    <n v="59.535378657606998"/>
  </r>
  <r>
    <x v="125"/>
    <s v="URY"/>
    <x v="13"/>
    <s v="per_si_allsi.cov_q1_tot"/>
    <n v="21.389737806516901"/>
    <n v="21.634540285544698"/>
    <m/>
    <m/>
    <m/>
    <n v="21.634540285544698"/>
  </r>
  <r>
    <x v="125"/>
    <s v="URY"/>
    <x v="14"/>
    <s v="SP.DYN.TO65.FE.ZS"/>
    <n v="87.394222999999997"/>
    <n v="87.813433000000003"/>
    <n v="85.065376999999998"/>
    <n v="86.208191999999997"/>
    <m/>
    <n v="87.813433000000003"/>
  </r>
  <r>
    <x v="125"/>
    <s v="URY"/>
    <x v="15"/>
    <s v="SP.POP.TECH.RD.P6"/>
    <m/>
    <m/>
    <m/>
    <m/>
    <m/>
    <n v="0"/>
  </r>
  <r>
    <x v="125"/>
    <s v="URY"/>
    <x v="16"/>
    <s v="IC.REG.DURS"/>
    <n v="6.5"/>
    <m/>
    <m/>
    <m/>
    <m/>
    <n v="6.5"/>
  </r>
  <r>
    <x v="126"/>
    <s v="UZB"/>
    <x v="0"/>
    <s v="FX.OWN.TOTL.ZS"/>
    <m/>
    <m/>
    <n v="44.13"/>
    <m/>
    <m/>
    <n v="44.13"/>
  </r>
  <r>
    <x v="126"/>
    <s v="UZB"/>
    <x v="1"/>
    <s v="FX.OWN.TOTL.FE.ZS"/>
    <m/>
    <m/>
    <n v="38.82"/>
    <m/>
    <m/>
    <n v="38.82"/>
  </r>
  <r>
    <x v="126"/>
    <s v="UZB"/>
    <x v="2"/>
    <s v="FX.OWN.TOTL.MA.ZS"/>
    <m/>
    <m/>
    <n v="50.24"/>
    <m/>
    <m/>
    <n v="50.24"/>
  </r>
  <r>
    <x v="126"/>
    <s v="UZB"/>
    <x v="3"/>
    <s v="FX.OWN.TOTL.40.ZS"/>
    <m/>
    <m/>
    <n v="41.5"/>
    <m/>
    <m/>
    <n v="41.5"/>
  </r>
  <r>
    <x v="126"/>
    <s v="UZB"/>
    <x v="4"/>
    <s v="FX.OWN.TOTL.YG.ZS"/>
    <m/>
    <m/>
    <n v="24.4"/>
    <m/>
    <m/>
    <n v="24.4"/>
  </r>
  <r>
    <x v="126"/>
    <s v="UZB"/>
    <x v="5"/>
    <s v="FX.OWN.TOTL.PL.ZS"/>
    <m/>
    <m/>
    <n v="23.85"/>
    <m/>
    <m/>
    <n v="23.85"/>
  </r>
  <r>
    <x v="126"/>
    <s v="UZB"/>
    <x v="6"/>
    <s v="SL.TLF.0714.WK.TM"/>
    <m/>
    <m/>
    <m/>
    <m/>
    <m/>
    <n v="0"/>
  </r>
  <r>
    <x v="126"/>
    <s v="UZB"/>
    <x v="7"/>
    <s v="IC.FRM.BRIB.ZS"/>
    <n v="5.9"/>
    <m/>
    <m/>
    <m/>
    <m/>
    <n v="5.9"/>
  </r>
  <r>
    <x v="126"/>
    <s v="UZB"/>
    <x v="8"/>
    <s v="IC.BUS.DISC.XQ"/>
    <n v="8"/>
    <m/>
    <m/>
    <m/>
    <m/>
    <n v="8"/>
  </r>
  <r>
    <x v="126"/>
    <s v="UZB"/>
    <x v="9"/>
    <s v="GC.DOD.TOTL.GD.ZS"/>
    <m/>
    <m/>
    <m/>
    <m/>
    <m/>
    <n v="0"/>
  </r>
  <r>
    <x v="126"/>
    <s v="UZB"/>
    <x v="10"/>
    <s v="SE.COM.DURS"/>
    <n v="12"/>
    <n v="12"/>
    <n v="12"/>
    <n v="12"/>
    <n v="12"/>
    <n v="12"/>
  </r>
  <r>
    <x v="126"/>
    <s v="UZB"/>
    <x v="11"/>
    <s v="CC.PER.RNK"/>
    <n v="15.238095283508301"/>
    <n v="15.714285850524901"/>
    <n v="22.857143402099599"/>
    <n v="24.5283012390137"/>
    <n v="23.113206863403299"/>
    <n v="24.5283012390137"/>
  </r>
  <r>
    <x v="126"/>
    <s v="UZB"/>
    <x v="12"/>
    <s v="per_sa_allsa.cov_pop_tot"/>
    <m/>
    <m/>
    <m/>
    <m/>
    <m/>
    <n v="0"/>
  </r>
  <r>
    <x v="126"/>
    <s v="UZB"/>
    <x v="13"/>
    <s v="per_si_allsi.cov_q1_tot"/>
    <m/>
    <m/>
    <m/>
    <m/>
    <m/>
    <n v="0"/>
  </r>
  <r>
    <x v="126"/>
    <s v="UZB"/>
    <x v="14"/>
    <s v="SP.DYN.TO65.FE.ZS"/>
    <n v="81.536681000000002"/>
    <n v="80.86448"/>
    <n v="80.603579999999994"/>
    <n v="80.977718999999993"/>
    <m/>
    <n v="81.536681000000002"/>
  </r>
  <r>
    <x v="126"/>
    <s v="UZB"/>
    <x v="15"/>
    <s v="SP.POP.TECH.RD.P6"/>
    <m/>
    <m/>
    <m/>
    <m/>
    <m/>
    <n v="0"/>
  </r>
  <r>
    <x v="126"/>
    <s v="UZB"/>
    <x v="16"/>
    <s v="IC.REG.DURS"/>
    <n v="3"/>
    <m/>
    <m/>
    <m/>
    <m/>
    <n v="3"/>
  </r>
  <r>
    <x v="127"/>
    <s v="VEN"/>
    <x v="0"/>
    <s v="FX.OWN.TOTL.ZS"/>
    <m/>
    <m/>
    <n v="84.39"/>
    <m/>
    <m/>
    <n v="84.39"/>
  </r>
  <r>
    <x v="127"/>
    <s v="VEN"/>
    <x v="1"/>
    <s v="FX.OWN.TOTL.FE.ZS"/>
    <m/>
    <m/>
    <n v="79.67"/>
    <m/>
    <m/>
    <n v="79.67"/>
  </r>
  <r>
    <x v="127"/>
    <s v="VEN"/>
    <x v="2"/>
    <s v="FX.OWN.TOTL.MA.ZS"/>
    <m/>
    <m/>
    <n v="89.06"/>
    <m/>
    <m/>
    <n v="89.06"/>
  </r>
  <r>
    <x v="127"/>
    <s v="VEN"/>
    <x v="3"/>
    <s v="FX.OWN.TOTL.40.ZS"/>
    <m/>
    <m/>
    <n v="78.209999999999994"/>
    <m/>
    <m/>
    <n v="78.209999999999994"/>
  </r>
  <r>
    <x v="127"/>
    <s v="VEN"/>
    <x v="4"/>
    <s v="FX.OWN.TOTL.YG.ZS"/>
    <m/>
    <m/>
    <n v="62.24"/>
    <m/>
    <m/>
    <n v="62.24"/>
  </r>
  <r>
    <x v="127"/>
    <s v="VEN"/>
    <x v="5"/>
    <s v="FX.OWN.TOTL.PL.ZS"/>
    <m/>
    <m/>
    <n v="83"/>
    <m/>
    <m/>
    <n v="83"/>
  </r>
  <r>
    <x v="127"/>
    <s v="VEN"/>
    <x v="6"/>
    <s v="SL.TLF.0714.WK.TM"/>
    <m/>
    <m/>
    <m/>
    <m/>
    <m/>
    <n v="0"/>
  </r>
  <r>
    <x v="127"/>
    <s v="VEN"/>
    <x v="7"/>
    <s v="IC.FRM.BRIB.ZS"/>
    <m/>
    <m/>
    <m/>
    <m/>
    <m/>
    <n v="0"/>
  </r>
  <r>
    <x v="127"/>
    <s v="VEN"/>
    <x v="8"/>
    <s v="IC.BUS.DISC.XQ"/>
    <n v="3"/>
    <m/>
    <m/>
    <m/>
    <m/>
    <n v="3"/>
  </r>
  <r>
    <x v="127"/>
    <s v="VEN"/>
    <x v="9"/>
    <s v="GC.DOD.TOTL.GD.ZS"/>
    <m/>
    <m/>
    <m/>
    <m/>
    <m/>
    <n v="0"/>
  </r>
  <r>
    <x v="127"/>
    <s v="VEN"/>
    <x v="10"/>
    <s v="SE.COM.DURS"/>
    <n v="17"/>
    <n v="17"/>
    <n v="17"/>
    <m/>
    <n v="17"/>
    <n v="17"/>
  </r>
  <r>
    <x v="127"/>
    <s v="VEN"/>
    <x v="11"/>
    <s v="CC.PER.RNK"/>
    <n v="3.8095238208770801"/>
    <n v="3.3333332538604701"/>
    <n v="1.90476191043854"/>
    <n v="1.8867924213409399"/>
    <n v="1.41509437561035"/>
    <n v="3.8095238208770801"/>
  </r>
  <r>
    <x v="127"/>
    <s v="VEN"/>
    <x v="12"/>
    <s v="per_sa_allsa.cov_pop_tot"/>
    <m/>
    <m/>
    <m/>
    <m/>
    <m/>
    <n v="0"/>
  </r>
  <r>
    <x v="127"/>
    <s v="VEN"/>
    <x v="13"/>
    <s v="per_si_allsi.cov_q1_tot"/>
    <m/>
    <m/>
    <m/>
    <m/>
    <m/>
    <n v="0"/>
  </r>
  <r>
    <x v="127"/>
    <s v="VEN"/>
    <x v="14"/>
    <s v="SP.DYN.TO65.FE.ZS"/>
    <n v="83.419809999999998"/>
    <n v="83.160238000000007"/>
    <n v="81.471757999999994"/>
    <n v="83.167078000000004"/>
    <m/>
    <n v="83.419809999999998"/>
  </r>
  <r>
    <x v="127"/>
    <s v="VEN"/>
    <x v="15"/>
    <s v="SP.POP.TECH.RD.P6"/>
    <m/>
    <m/>
    <m/>
    <m/>
    <m/>
    <n v="0"/>
  </r>
  <r>
    <x v="127"/>
    <s v="VEN"/>
    <x v="16"/>
    <s v="IC.REG.DURS"/>
    <n v="230"/>
    <m/>
    <m/>
    <m/>
    <m/>
    <n v="230"/>
  </r>
  <r>
    <x v="128"/>
    <s v="ZMB"/>
    <x v="0"/>
    <s v="FX.OWN.TOTL.ZS"/>
    <m/>
    <m/>
    <n v="48.52"/>
    <m/>
    <m/>
    <n v="48.52"/>
  </r>
  <r>
    <x v="128"/>
    <s v="ZMB"/>
    <x v="1"/>
    <s v="FX.OWN.TOTL.FE.ZS"/>
    <m/>
    <m/>
    <n v="44.98"/>
    <m/>
    <m/>
    <n v="44.98"/>
  </r>
  <r>
    <x v="128"/>
    <s v="ZMB"/>
    <x v="2"/>
    <s v="FX.OWN.TOTL.MA.ZS"/>
    <m/>
    <m/>
    <n v="52.48"/>
    <m/>
    <m/>
    <n v="52.48"/>
  </r>
  <r>
    <x v="128"/>
    <s v="ZMB"/>
    <x v="3"/>
    <s v="FX.OWN.TOTL.40.ZS"/>
    <m/>
    <m/>
    <n v="32.909999999999997"/>
    <m/>
    <m/>
    <n v="32.909999999999997"/>
  </r>
  <r>
    <x v="128"/>
    <s v="ZMB"/>
    <x v="4"/>
    <s v="FX.OWN.TOTL.YG.ZS"/>
    <m/>
    <m/>
    <n v="44.51"/>
    <m/>
    <m/>
    <n v="44.51"/>
  </r>
  <r>
    <x v="128"/>
    <s v="ZMB"/>
    <x v="5"/>
    <s v="FX.OWN.TOTL.PL.ZS"/>
    <m/>
    <m/>
    <n v="33.020000000000003"/>
    <m/>
    <m/>
    <n v="33.020000000000003"/>
  </r>
  <r>
    <x v="128"/>
    <s v="ZMB"/>
    <x v="6"/>
    <s v="SL.TLF.0714.WK.TM"/>
    <m/>
    <m/>
    <m/>
    <m/>
    <m/>
    <n v="0"/>
  </r>
  <r>
    <x v="128"/>
    <s v="ZMB"/>
    <x v="7"/>
    <s v="IC.FRM.BRIB.ZS"/>
    <n v="9.6"/>
    <m/>
    <m/>
    <m/>
    <m/>
    <n v="9.6"/>
  </r>
  <r>
    <x v="128"/>
    <s v="ZMB"/>
    <x v="8"/>
    <s v="IC.BUS.DISC.XQ"/>
    <n v="4"/>
    <m/>
    <m/>
    <m/>
    <m/>
    <n v="4"/>
  </r>
  <r>
    <x v="128"/>
    <s v="ZMB"/>
    <x v="9"/>
    <s v="GC.DOD.TOTL.GD.ZS"/>
    <n v="61.930117381665298"/>
    <n v="103.54315235027001"/>
    <n v="71.411176168638306"/>
    <m/>
    <m/>
    <n v="103.54315235027001"/>
  </r>
  <r>
    <x v="128"/>
    <s v="ZMB"/>
    <x v="10"/>
    <s v="SE.COM.DURS"/>
    <n v="7"/>
    <n v="7"/>
    <n v="7"/>
    <n v="7"/>
    <n v="7"/>
    <n v="7"/>
  </r>
  <r>
    <x v="128"/>
    <s v="ZMB"/>
    <x v="11"/>
    <s v="CC.PER.RNK"/>
    <n v="27.619047164916999"/>
    <n v="26.190475463867202"/>
    <n v="25.7142848968506"/>
    <n v="34.433963775634801"/>
    <n v="36.792453765869098"/>
    <n v="36.792453765869098"/>
  </r>
  <r>
    <x v="128"/>
    <s v="ZMB"/>
    <x v="12"/>
    <s v="per_sa_allsa.cov_pop_tot"/>
    <m/>
    <m/>
    <m/>
    <m/>
    <m/>
    <n v="0"/>
  </r>
  <r>
    <x v="128"/>
    <s v="ZMB"/>
    <x v="13"/>
    <s v="per_si_allsi.cov_q1_tot"/>
    <m/>
    <m/>
    <m/>
    <m/>
    <m/>
    <n v="0"/>
  </r>
  <r>
    <x v="128"/>
    <s v="ZMB"/>
    <x v="14"/>
    <s v="SP.DYN.TO65.FE.ZS"/>
    <n v="66.220286999999999"/>
    <n v="67.260429000000002"/>
    <n v="64.584766000000002"/>
    <n v="71.401929999999993"/>
    <m/>
    <n v="71.401929999999993"/>
  </r>
  <r>
    <x v="128"/>
    <s v="ZMB"/>
    <x v="15"/>
    <s v="SP.POP.TECH.RD.P6"/>
    <m/>
    <m/>
    <m/>
    <m/>
    <m/>
    <n v="0"/>
  </r>
  <r>
    <x v="128"/>
    <s v="ZMB"/>
    <x v="16"/>
    <s v="IC.REG.DURS"/>
    <n v="8.5"/>
    <m/>
    <m/>
    <m/>
    <m/>
    <n v="8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EA04C-8928-46C1-BA47-1959FA95419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S134" firstHeaderRow="1" firstDataRow="2" firstDataCol="1"/>
  <pivotFields count="10">
    <pivotField axis="axisRow" showAll="0">
      <items count="130">
        <item x="0"/>
        <item x="1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2"/>
        <item x="32"/>
        <item x="3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3"/>
        <item x="101"/>
        <item x="102"/>
        <item x="104"/>
        <item x="105"/>
        <item x="106"/>
        <item x="107"/>
        <item x="108"/>
        <item x="109"/>
        <item x="110"/>
        <item x="111"/>
        <item x="113"/>
        <item x="112"/>
        <item x="114"/>
        <item x="115"/>
        <item x="117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showAll="0"/>
    <pivotField axis="axisCol" showAll="0">
      <items count="18">
        <item x="0"/>
        <item x="1"/>
        <item x="2"/>
        <item x="3"/>
        <item x="5"/>
        <item x="4"/>
        <item x="6"/>
        <item x="7"/>
        <item x="8"/>
        <item x="9"/>
        <item x="10"/>
        <item x="11"/>
        <item x="13"/>
        <item x="12"/>
        <item x="14"/>
        <item x="15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 t="grand">
      <x/>
    </i>
  </rowItems>
  <colFields count="1">
    <field x="2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Sum of Max" fld="9" baseField="0" baseItem="0"/>
  </dataFields>
  <formats count="3">
    <format dxfId="2">
      <pivotArea field="0" type="button" dataOnly="0" labelOnly="1" outline="0" axis="axisRow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B10C-12B4-48D3-B0EC-DFEAF3CAC8C2}">
  <dimension ref="A3:S134"/>
  <sheetViews>
    <sheetView topLeftCell="J100" workbookViewId="0">
      <selection activeCell="A4" sqref="A4:S133"/>
    </sheetView>
  </sheetViews>
  <sheetFormatPr defaultRowHeight="15" x14ac:dyDescent="0.25"/>
  <cols>
    <col min="1" max="1" width="22.5703125" bestFit="1" customWidth="1"/>
    <col min="2" max="19" width="20" customWidth="1"/>
  </cols>
  <sheetData>
    <row r="3" spans="1:19" x14ac:dyDescent="0.25">
      <c r="A3" s="1" t="s">
        <v>307</v>
      </c>
      <c r="B3" s="1" t="s">
        <v>308</v>
      </c>
    </row>
    <row r="4" spans="1:19" ht="70.5" customHeight="1" x14ac:dyDescent="0.25">
      <c r="A4" s="4" t="s">
        <v>305</v>
      </c>
      <c r="B4" s="5" t="s">
        <v>11</v>
      </c>
      <c r="C4" s="5" t="s">
        <v>14</v>
      </c>
      <c r="D4" s="5" t="s">
        <v>16</v>
      </c>
      <c r="E4" s="5" t="s">
        <v>18</v>
      </c>
      <c r="F4" s="5" t="s">
        <v>22</v>
      </c>
      <c r="G4" s="5" t="s">
        <v>20</v>
      </c>
      <c r="H4" s="5" t="s">
        <v>24</v>
      </c>
      <c r="I4" s="5" t="s">
        <v>26</v>
      </c>
      <c r="J4" s="5" t="s">
        <v>28</v>
      </c>
      <c r="K4" s="5" t="s">
        <v>30</v>
      </c>
      <c r="L4" s="5" t="s">
        <v>32</v>
      </c>
      <c r="M4" s="5" t="s">
        <v>34</v>
      </c>
      <c r="N4" s="5" t="s">
        <v>38</v>
      </c>
      <c r="O4" s="5" t="s">
        <v>36</v>
      </c>
      <c r="P4" s="5" t="s">
        <v>40</v>
      </c>
      <c r="Q4" s="5" t="s">
        <v>42</v>
      </c>
      <c r="R4" s="5" t="s">
        <v>44</v>
      </c>
      <c r="S4" s="5" t="s">
        <v>306</v>
      </c>
    </row>
    <row r="5" spans="1:19" x14ac:dyDescent="0.25">
      <c r="A5" s="2" t="s">
        <v>9</v>
      </c>
      <c r="B5" s="3">
        <v>9.65</v>
      </c>
      <c r="C5" s="3">
        <v>4.7</v>
      </c>
      <c r="D5" s="3">
        <v>14.79</v>
      </c>
      <c r="E5" s="3">
        <v>5.86</v>
      </c>
      <c r="F5" s="3">
        <v>5.18</v>
      </c>
      <c r="G5" s="3">
        <v>7.55</v>
      </c>
      <c r="H5" s="3">
        <v>0</v>
      </c>
      <c r="I5" s="3">
        <v>0</v>
      </c>
      <c r="J5" s="3">
        <v>8</v>
      </c>
      <c r="K5" s="3">
        <v>0</v>
      </c>
      <c r="L5" s="3">
        <v>9</v>
      </c>
      <c r="M5" s="3">
        <v>13.6792449951172</v>
      </c>
      <c r="N5" s="3">
        <v>0</v>
      </c>
      <c r="O5" s="3">
        <v>0</v>
      </c>
      <c r="P5" s="3">
        <v>69.906777000000005</v>
      </c>
      <c r="Q5" s="3">
        <v>0</v>
      </c>
      <c r="R5" s="3">
        <v>8.5</v>
      </c>
      <c r="S5" s="3">
        <v>156.81602199511718</v>
      </c>
    </row>
    <row r="6" spans="1:19" x14ac:dyDescent="0.25">
      <c r="A6" s="2" t="s">
        <v>46</v>
      </c>
      <c r="B6" s="3">
        <v>44.1</v>
      </c>
      <c r="C6" s="3">
        <v>31.19</v>
      </c>
      <c r="D6" s="3">
        <v>56.83</v>
      </c>
      <c r="E6" s="3">
        <v>31.91</v>
      </c>
      <c r="F6" s="3">
        <v>38.99</v>
      </c>
      <c r="G6" s="3">
        <v>26.72</v>
      </c>
      <c r="H6" s="3">
        <v>0</v>
      </c>
      <c r="I6" s="3">
        <v>0</v>
      </c>
      <c r="J6" s="3">
        <v>4</v>
      </c>
      <c r="K6" s="3">
        <v>0</v>
      </c>
      <c r="L6" s="3">
        <v>10</v>
      </c>
      <c r="M6" s="3">
        <v>30.188678741455099</v>
      </c>
      <c r="N6" s="3">
        <v>0</v>
      </c>
      <c r="O6" s="3">
        <v>0</v>
      </c>
      <c r="P6" s="3">
        <v>87.509843000000004</v>
      </c>
      <c r="Q6" s="3">
        <v>0</v>
      </c>
      <c r="R6" s="3">
        <v>18</v>
      </c>
      <c r="S6" s="3">
        <v>379.43852174145508</v>
      </c>
    </row>
    <row r="7" spans="1:19" x14ac:dyDescent="0.25">
      <c r="A7" s="2" t="s">
        <v>52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4</v>
      </c>
      <c r="K7" s="3">
        <v>0</v>
      </c>
      <c r="L7" s="3">
        <v>10</v>
      </c>
      <c r="M7" s="3">
        <v>30.188678741455099</v>
      </c>
      <c r="N7" s="3">
        <v>0</v>
      </c>
      <c r="O7" s="3">
        <v>0</v>
      </c>
      <c r="P7" s="3">
        <v>68.636516</v>
      </c>
      <c r="Q7" s="3">
        <v>0</v>
      </c>
      <c r="R7" s="3">
        <v>36</v>
      </c>
      <c r="S7" s="3">
        <v>148.82519474145511</v>
      </c>
    </row>
    <row r="8" spans="1:19" x14ac:dyDescent="0.25">
      <c r="A8" s="2" t="s">
        <v>54</v>
      </c>
      <c r="B8" s="3">
        <v>71.63</v>
      </c>
      <c r="C8" s="3">
        <v>73.75</v>
      </c>
      <c r="D8" s="3">
        <v>69.56</v>
      </c>
      <c r="E8" s="3">
        <v>65.23</v>
      </c>
      <c r="F8" s="3">
        <v>57.1</v>
      </c>
      <c r="G8" s="3">
        <v>75.37</v>
      </c>
      <c r="H8" s="3">
        <v>0</v>
      </c>
      <c r="I8" s="3">
        <v>0</v>
      </c>
      <c r="J8" s="3">
        <v>7</v>
      </c>
      <c r="K8" s="3">
        <v>0</v>
      </c>
      <c r="L8" s="3">
        <v>14</v>
      </c>
      <c r="M8" s="3">
        <v>52.857143402099602</v>
      </c>
      <c r="N8" s="3">
        <v>21.880785237053701</v>
      </c>
      <c r="O8" s="3">
        <v>41.3987285647448</v>
      </c>
      <c r="P8" s="3">
        <v>86.163347000000002</v>
      </c>
      <c r="Q8" s="3">
        <v>0</v>
      </c>
      <c r="R8" s="3">
        <v>11.5</v>
      </c>
      <c r="S8" s="3">
        <v>647.44000420389818</v>
      </c>
    </row>
    <row r="9" spans="1:19" x14ac:dyDescent="0.25">
      <c r="A9" s="2" t="s">
        <v>56</v>
      </c>
      <c r="B9" s="3">
        <v>99.32</v>
      </c>
      <c r="C9" s="3">
        <v>100</v>
      </c>
      <c r="D9" s="3">
        <v>98.59</v>
      </c>
      <c r="E9" s="3">
        <v>98.3</v>
      </c>
      <c r="F9" s="3">
        <v>86.48</v>
      </c>
      <c r="G9" s="3">
        <v>100</v>
      </c>
      <c r="H9" s="3">
        <v>0</v>
      </c>
      <c r="I9" s="3">
        <v>0</v>
      </c>
      <c r="J9" s="3">
        <v>8</v>
      </c>
      <c r="K9" s="3">
        <v>70.010911765241701</v>
      </c>
      <c r="L9" s="3">
        <v>11</v>
      </c>
      <c r="M9" s="3">
        <v>95.754714965820298</v>
      </c>
      <c r="N9" s="3">
        <v>0</v>
      </c>
      <c r="O9" s="3">
        <v>0</v>
      </c>
      <c r="P9" s="3">
        <v>93.408546999999999</v>
      </c>
      <c r="Q9" s="3">
        <v>0</v>
      </c>
      <c r="R9" s="3">
        <v>2</v>
      </c>
      <c r="S9" s="3">
        <v>862.86417373106201</v>
      </c>
    </row>
    <row r="10" spans="1:19" x14ac:dyDescent="0.25">
      <c r="A10" s="2" t="s">
        <v>58</v>
      </c>
      <c r="B10" s="3">
        <v>99.95</v>
      </c>
      <c r="C10" s="3">
        <v>100</v>
      </c>
      <c r="D10" s="3">
        <v>99.9</v>
      </c>
      <c r="E10" s="3">
        <v>100</v>
      </c>
      <c r="F10" s="3">
        <v>100</v>
      </c>
      <c r="G10" s="3">
        <v>100</v>
      </c>
      <c r="H10" s="3">
        <v>0</v>
      </c>
      <c r="I10" s="3">
        <v>1.3</v>
      </c>
      <c r="J10" s="3">
        <v>5</v>
      </c>
      <c r="K10" s="3">
        <v>100.056789599418</v>
      </c>
      <c r="L10" s="3">
        <v>13</v>
      </c>
      <c r="M10" s="3">
        <v>90.952377319335895</v>
      </c>
      <c r="N10" s="3">
        <v>0</v>
      </c>
      <c r="O10" s="3">
        <v>0</v>
      </c>
      <c r="P10" s="3">
        <v>93.266368</v>
      </c>
      <c r="Q10" s="3">
        <v>0</v>
      </c>
      <c r="R10" s="3">
        <v>21</v>
      </c>
      <c r="S10" s="3">
        <v>924.42553491875401</v>
      </c>
    </row>
    <row r="11" spans="1:19" x14ac:dyDescent="0.25">
      <c r="A11" s="2" t="s">
        <v>60</v>
      </c>
      <c r="B11" s="3">
        <v>46.26</v>
      </c>
      <c r="C11" s="3">
        <v>38.840000000000003</v>
      </c>
      <c r="D11" s="3">
        <v>54.59</v>
      </c>
      <c r="E11" s="3">
        <v>35.58</v>
      </c>
      <c r="F11" s="3">
        <v>30.61</v>
      </c>
      <c r="G11" s="3">
        <v>36.380000000000003</v>
      </c>
      <c r="H11" s="3">
        <v>0</v>
      </c>
      <c r="I11" s="3">
        <v>12.1</v>
      </c>
      <c r="J11" s="3">
        <v>10</v>
      </c>
      <c r="K11" s="3">
        <v>22.189999462647801</v>
      </c>
      <c r="L11" s="3">
        <v>10</v>
      </c>
      <c r="M11" s="3">
        <v>22.857143402099599</v>
      </c>
      <c r="N11" s="3">
        <v>0</v>
      </c>
      <c r="O11" s="3">
        <v>0</v>
      </c>
      <c r="P11" s="3">
        <v>85.660171000000005</v>
      </c>
      <c r="Q11" s="3">
        <v>0</v>
      </c>
      <c r="R11" s="3">
        <v>3.5</v>
      </c>
      <c r="S11" s="3">
        <v>408.5673138647474</v>
      </c>
    </row>
    <row r="12" spans="1:19" x14ac:dyDescent="0.25">
      <c r="A12" s="2" t="s">
        <v>62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3</v>
      </c>
      <c r="K12" s="3">
        <v>87.390331655946696</v>
      </c>
      <c r="L12" s="3">
        <v>12</v>
      </c>
      <c r="M12" s="3">
        <v>88.207550048828097</v>
      </c>
      <c r="N12" s="3">
        <v>0</v>
      </c>
      <c r="O12" s="3">
        <v>0</v>
      </c>
      <c r="P12" s="3">
        <v>82.828462999999999</v>
      </c>
      <c r="Q12" s="3">
        <v>0</v>
      </c>
      <c r="R12" s="3">
        <v>11.5</v>
      </c>
      <c r="S12" s="3">
        <v>284.92634470477481</v>
      </c>
    </row>
    <row r="13" spans="1:19" x14ac:dyDescent="0.25">
      <c r="A13" s="2" t="s">
        <v>64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8</v>
      </c>
      <c r="K13" s="3">
        <v>111.598089477141</v>
      </c>
      <c r="L13" s="3">
        <v>9</v>
      </c>
      <c r="M13" s="3">
        <v>59.433963775634801</v>
      </c>
      <c r="N13" s="3">
        <v>0</v>
      </c>
      <c r="O13" s="3">
        <v>0</v>
      </c>
      <c r="P13" s="3">
        <v>91.180304000000007</v>
      </c>
      <c r="Q13" s="3">
        <v>0</v>
      </c>
      <c r="R13" s="3">
        <v>8.3000000000000007</v>
      </c>
      <c r="S13" s="3">
        <v>287.51235725277581</v>
      </c>
    </row>
    <row r="14" spans="1:19" x14ac:dyDescent="0.25">
      <c r="A14" s="2" t="s">
        <v>66</v>
      </c>
      <c r="B14" s="3">
        <v>52.81</v>
      </c>
      <c r="C14" s="3">
        <v>43.46</v>
      </c>
      <c r="D14" s="3">
        <v>62.86</v>
      </c>
      <c r="E14" s="3">
        <v>48.65</v>
      </c>
      <c r="F14" s="3">
        <v>46.57</v>
      </c>
      <c r="G14" s="3">
        <v>47.8</v>
      </c>
      <c r="H14" s="3">
        <v>0</v>
      </c>
      <c r="I14" s="3">
        <v>23</v>
      </c>
      <c r="J14" s="3">
        <v>6</v>
      </c>
      <c r="K14" s="3">
        <v>0</v>
      </c>
      <c r="L14" s="3">
        <v>5</v>
      </c>
      <c r="M14" s="3">
        <v>18.095237731933601</v>
      </c>
      <c r="N14" s="3">
        <v>0</v>
      </c>
      <c r="O14" s="3">
        <v>0</v>
      </c>
      <c r="P14" s="3">
        <v>81.950648999999999</v>
      </c>
      <c r="Q14" s="3">
        <v>0</v>
      </c>
      <c r="R14" s="3">
        <v>19.5</v>
      </c>
      <c r="S14" s="3">
        <v>455.69588673193357</v>
      </c>
    </row>
    <row r="15" spans="1:19" x14ac:dyDescent="0.25">
      <c r="A15" s="2" t="s">
        <v>68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2</v>
      </c>
      <c r="K15" s="3">
        <v>0</v>
      </c>
      <c r="L15" s="3">
        <v>11</v>
      </c>
      <c r="M15" s="3">
        <v>89.622642517089801</v>
      </c>
      <c r="N15" s="3">
        <v>0</v>
      </c>
      <c r="O15" s="3">
        <v>0</v>
      </c>
      <c r="P15" s="3">
        <v>87.200547</v>
      </c>
      <c r="Q15" s="3">
        <v>0</v>
      </c>
      <c r="R15" s="3">
        <v>16</v>
      </c>
      <c r="S15" s="3">
        <v>205.82318951708982</v>
      </c>
    </row>
    <row r="16" spans="1:19" x14ac:dyDescent="0.25">
      <c r="A16" s="2" t="s">
        <v>70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6</v>
      </c>
      <c r="K16" s="3">
        <v>33.2442286168097</v>
      </c>
      <c r="L16" s="3">
        <v>11</v>
      </c>
      <c r="M16" s="3">
        <v>56.190475463867202</v>
      </c>
      <c r="N16" s="3">
        <v>41.428400070760901</v>
      </c>
      <c r="O16" s="3">
        <v>47.074577773880399</v>
      </c>
      <c r="P16" s="3">
        <v>86.958715999999995</v>
      </c>
      <c r="Q16" s="3">
        <v>0</v>
      </c>
      <c r="R16" s="3">
        <v>8.5</v>
      </c>
      <c r="S16" s="3">
        <v>290.39639792531824</v>
      </c>
    </row>
    <row r="17" spans="1:19" x14ac:dyDescent="0.25">
      <c r="A17" s="2" t="s">
        <v>72</v>
      </c>
      <c r="B17" s="3">
        <v>99.01</v>
      </c>
      <c r="C17" s="3">
        <v>98.65</v>
      </c>
      <c r="D17" s="3">
        <v>99.37</v>
      </c>
      <c r="E17" s="3">
        <v>97.94</v>
      </c>
      <c r="F17" s="3">
        <v>93.81</v>
      </c>
      <c r="G17" s="3">
        <v>94.73</v>
      </c>
      <c r="H17" s="3">
        <v>0</v>
      </c>
      <c r="I17" s="3">
        <v>4.3</v>
      </c>
      <c r="J17" s="3">
        <v>8</v>
      </c>
      <c r="K17" s="3">
        <v>118.442409069939</v>
      </c>
      <c r="L17" s="3">
        <v>12</v>
      </c>
      <c r="M17" s="3">
        <v>90</v>
      </c>
      <c r="N17" s="3">
        <v>0</v>
      </c>
      <c r="O17" s="3">
        <v>0</v>
      </c>
      <c r="P17" s="3">
        <v>92.223268000000004</v>
      </c>
      <c r="Q17" s="3">
        <v>0</v>
      </c>
      <c r="R17" s="3">
        <v>5</v>
      </c>
      <c r="S17" s="3">
        <v>913.47567706993891</v>
      </c>
    </row>
    <row r="18" spans="1:19" x14ac:dyDescent="0.25">
      <c r="A18" s="2" t="s">
        <v>74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13</v>
      </c>
      <c r="M18" s="3">
        <v>88.679244995117202</v>
      </c>
      <c r="N18" s="3">
        <v>0</v>
      </c>
      <c r="O18" s="3">
        <v>0</v>
      </c>
      <c r="P18" s="3">
        <v>92.818295000000006</v>
      </c>
      <c r="Q18" s="3">
        <v>0</v>
      </c>
      <c r="R18" s="3">
        <v>0</v>
      </c>
      <c r="S18" s="3">
        <v>194.49753999511722</v>
      </c>
    </row>
    <row r="19" spans="1:19" x14ac:dyDescent="0.25">
      <c r="A19" s="2" t="s">
        <v>76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4</v>
      </c>
      <c r="K19" s="3">
        <v>111.007884088239</v>
      </c>
      <c r="L19" s="3">
        <v>0</v>
      </c>
      <c r="M19" s="3">
        <v>93.333335876464801</v>
      </c>
      <c r="N19" s="3">
        <v>0</v>
      </c>
      <c r="O19" s="3">
        <v>0</v>
      </c>
      <c r="P19" s="3">
        <v>82.661171999999993</v>
      </c>
      <c r="Q19" s="3">
        <v>0</v>
      </c>
      <c r="R19" s="3">
        <v>12</v>
      </c>
      <c r="S19" s="3">
        <v>303.00239196470375</v>
      </c>
    </row>
    <row r="20" spans="1:19" x14ac:dyDescent="0.25">
      <c r="A20" s="2" t="s">
        <v>78</v>
      </c>
      <c r="B20" s="3">
        <v>68.89</v>
      </c>
      <c r="C20" s="3">
        <v>63.29</v>
      </c>
      <c r="D20" s="3">
        <v>74.040000000000006</v>
      </c>
      <c r="E20" s="3">
        <v>56.29</v>
      </c>
      <c r="F20" s="3">
        <v>55.39</v>
      </c>
      <c r="G20" s="3">
        <v>66.36</v>
      </c>
      <c r="H20" s="3">
        <v>0</v>
      </c>
      <c r="I20" s="3">
        <v>0</v>
      </c>
      <c r="J20" s="3">
        <v>1</v>
      </c>
      <c r="K20" s="3">
        <v>0</v>
      </c>
      <c r="L20" s="3">
        <v>14</v>
      </c>
      <c r="M20" s="3">
        <v>25.7142848968506</v>
      </c>
      <c r="N20" s="3">
        <v>1.1835016724816201</v>
      </c>
      <c r="O20" s="3">
        <v>97.854020740754905</v>
      </c>
      <c r="P20" s="3">
        <v>73.855091999999999</v>
      </c>
      <c r="Q20" s="3">
        <v>0</v>
      </c>
      <c r="R20" s="3">
        <v>39.5</v>
      </c>
      <c r="S20" s="3">
        <v>637.36689931008721</v>
      </c>
    </row>
    <row r="21" spans="1:19" x14ac:dyDescent="0.25">
      <c r="A21" s="2" t="s">
        <v>80</v>
      </c>
      <c r="B21" s="3">
        <v>79.34</v>
      </c>
      <c r="C21" s="3">
        <v>70.37</v>
      </c>
      <c r="D21" s="3">
        <v>88.71</v>
      </c>
      <c r="E21" s="3">
        <v>72.290000000000006</v>
      </c>
      <c r="F21" s="3">
        <v>57.58</v>
      </c>
      <c r="G21" s="3">
        <v>61.03</v>
      </c>
      <c r="H21" s="3">
        <v>0</v>
      </c>
      <c r="I21" s="3">
        <v>16</v>
      </c>
      <c r="J21" s="3">
        <v>3</v>
      </c>
      <c r="K21" s="3">
        <v>46.974819137829897</v>
      </c>
      <c r="L21" s="3">
        <v>9</v>
      </c>
      <c r="M21" s="3">
        <v>30.660377502441399</v>
      </c>
      <c r="N21" s="3">
        <v>0</v>
      </c>
      <c r="O21" s="3">
        <v>0</v>
      </c>
      <c r="P21" s="3">
        <v>89.015321999999998</v>
      </c>
      <c r="Q21" s="3">
        <v>0</v>
      </c>
      <c r="R21" s="3">
        <v>80</v>
      </c>
      <c r="S21" s="3">
        <v>703.97051864027128</v>
      </c>
    </row>
    <row r="22" spans="1:19" x14ac:dyDescent="0.25">
      <c r="A22" s="2" t="s">
        <v>82</v>
      </c>
      <c r="B22" s="3">
        <v>58.76</v>
      </c>
      <c r="C22" s="3">
        <v>53.86</v>
      </c>
      <c r="D22" s="3">
        <v>64.290000000000006</v>
      </c>
      <c r="E22" s="3">
        <v>47.59</v>
      </c>
      <c r="F22" s="3">
        <v>43.8</v>
      </c>
      <c r="G22" s="3">
        <v>49.72</v>
      </c>
      <c r="H22" s="3">
        <v>0</v>
      </c>
      <c r="I22" s="3">
        <v>6.1</v>
      </c>
      <c r="J22" s="3">
        <v>7</v>
      </c>
      <c r="K22" s="3">
        <v>19.6160814562101</v>
      </c>
      <c r="L22" s="3">
        <v>0</v>
      </c>
      <c r="M22" s="3">
        <v>74.761901855468807</v>
      </c>
      <c r="N22" s="3">
        <v>0</v>
      </c>
      <c r="O22" s="3">
        <v>0</v>
      </c>
      <c r="P22" s="3">
        <v>74.133132000000003</v>
      </c>
      <c r="Q22" s="3">
        <v>0</v>
      </c>
      <c r="R22" s="3">
        <v>48</v>
      </c>
      <c r="S22" s="3">
        <v>547.63111531167897</v>
      </c>
    </row>
    <row r="23" spans="1:19" x14ac:dyDescent="0.25">
      <c r="A23" s="2" t="s">
        <v>84</v>
      </c>
      <c r="B23" s="3">
        <v>84.04</v>
      </c>
      <c r="C23" s="3">
        <v>80.87</v>
      </c>
      <c r="D23" s="3">
        <v>87.05</v>
      </c>
      <c r="E23" s="3">
        <v>81.98</v>
      </c>
      <c r="F23" s="3">
        <v>81.28</v>
      </c>
      <c r="G23" s="3">
        <v>79.92</v>
      </c>
      <c r="H23" s="3">
        <v>0</v>
      </c>
      <c r="I23" s="3">
        <v>0</v>
      </c>
      <c r="J23" s="3">
        <v>5</v>
      </c>
      <c r="K23" s="3">
        <v>98.709881954654506</v>
      </c>
      <c r="L23" s="3">
        <v>14</v>
      </c>
      <c r="M23" s="3">
        <v>39.523811340332003</v>
      </c>
      <c r="N23" s="3">
        <v>10.5398803410033</v>
      </c>
      <c r="O23" s="3">
        <v>51.6526428031477</v>
      </c>
      <c r="P23" s="3">
        <v>86.473097999999993</v>
      </c>
      <c r="Q23" s="3">
        <v>0</v>
      </c>
      <c r="R23" s="3">
        <v>16.600000000000001</v>
      </c>
      <c r="S23" s="3">
        <v>817.63931443913759</v>
      </c>
    </row>
    <row r="24" spans="1:19" x14ac:dyDescent="0.25">
      <c r="A24" s="2" t="s">
        <v>86</v>
      </c>
      <c r="B24" s="3">
        <v>83.97</v>
      </c>
      <c r="C24" s="3">
        <v>84.32</v>
      </c>
      <c r="D24" s="3">
        <v>83.59</v>
      </c>
      <c r="E24" s="3">
        <v>73.87</v>
      </c>
      <c r="F24" s="3">
        <v>70.95</v>
      </c>
      <c r="G24" s="3">
        <v>88.62</v>
      </c>
      <c r="H24" s="3">
        <v>0</v>
      </c>
      <c r="I24" s="3">
        <v>10</v>
      </c>
      <c r="J24" s="3">
        <v>10</v>
      </c>
      <c r="K24" s="3">
        <v>32.749223603340901</v>
      </c>
      <c r="L24" s="3">
        <v>11</v>
      </c>
      <c r="M24" s="3">
        <v>50</v>
      </c>
      <c r="N24" s="3">
        <v>0</v>
      </c>
      <c r="O24" s="3">
        <v>0</v>
      </c>
      <c r="P24" s="3">
        <v>86.762874999999994</v>
      </c>
      <c r="Q24" s="3">
        <v>0</v>
      </c>
      <c r="R24" s="3">
        <v>23</v>
      </c>
      <c r="S24" s="3">
        <v>708.83209860334091</v>
      </c>
    </row>
    <row r="25" spans="1:19" x14ac:dyDescent="0.25">
      <c r="A25" s="2" t="s">
        <v>88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1</v>
      </c>
      <c r="K25" s="3">
        <v>0</v>
      </c>
      <c r="L25" s="3">
        <v>10</v>
      </c>
      <c r="M25" s="3">
        <v>82.380950927734403</v>
      </c>
      <c r="N25" s="3">
        <v>0</v>
      </c>
      <c r="O25" s="3">
        <v>0</v>
      </c>
      <c r="P25" s="3">
        <v>89.803916999999998</v>
      </c>
      <c r="Q25" s="3">
        <v>0</v>
      </c>
      <c r="R25" s="3">
        <v>9</v>
      </c>
      <c r="S25" s="3">
        <v>192.18486792773439</v>
      </c>
    </row>
    <row r="26" spans="1:19" x14ac:dyDescent="0.25">
      <c r="A26" s="2" t="s">
        <v>90</v>
      </c>
      <c r="B26" s="3">
        <v>33.39</v>
      </c>
      <c r="C26" s="3">
        <v>32.520000000000003</v>
      </c>
      <c r="D26" s="3">
        <v>34.409999999999997</v>
      </c>
      <c r="E26" s="3">
        <v>23.35</v>
      </c>
      <c r="F26" s="3">
        <v>28.77</v>
      </c>
      <c r="G26" s="3">
        <v>27.65</v>
      </c>
      <c r="H26" s="3">
        <v>0</v>
      </c>
      <c r="I26" s="3">
        <v>27.1</v>
      </c>
      <c r="J26" s="3">
        <v>6</v>
      </c>
      <c r="K26" s="3">
        <v>0</v>
      </c>
      <c r="L26" s="3">
        <v>0</v>
      </c>
      <c r="M26" s="3">
        <v>11.428571701049799</v>
      </c>
      <c r="N26" s="3">
        <v>0</v>
      </c>
      <c r="O26" s="3">
        <v>0</v>
      </c>
      <c r="P26" s="3">
        <v>78.957722000000004</v>
      </c>
      <c r="Q26" s="3">
        <v>0</v>
      </c>
      <c r="R26" s="3">
        <v>99</v>
      </c>
      <c r="S26" s="3">
        <v>402.57629370104979</v>
      </c>
    </row>
    <row r="27" spans="1:19" x14ac:dyDescent="0.25">
      <c r="A27" s="2" t="s">
        <v>92</v>
      </c>
      <c r="B27" s="3">
        <v>99.63</v>
      </c>
      <c r="C27" s="3">
        <v>99.51</v>
      </c>
      <c r="D27" s="3">
        <v>99.77</v>
      </c>
      <c r="E27" s="3">
        <v>99.37</v>
      </c>
      <c r="F27" s="3">
        <v>90.16</v>
      </c>
      <c r="G27" s="3">
        <v>100</v>
      </c>
      <c r="H27" s="3">
        <v>0</v>
      </c>
      <c r="I27" s="3">
        <v>0</v>
      </c>
      <c r="J27" s="3">
        <v>8</v>
      </c>
      <c r="K27" s="3">
        <v>74.554047104154606</v>
      </c>
      <c r="L27" s="3">
        <v>10</v>
      </c>
      <c r="M27" s="3">
        <v>94.811317443847699</v>
      </c>
      <c r="N27" s="3">
        <v>0</v>
      </c>
      <c r="O27" s="3">
        <v>0</v>
      </c>
      <c r="P27" s="3">
        <v>91.987767000000005</v>
      </c>
      <c r="Q27" s="3">
        <v>0</v>
      </c>
      <c r="R27" s="3">
        <v>1.5</v>
      </c>
      <c r="S27" s="3">
        <v>869.29313154800218</v>
      </c>
    </row>
    <row r="28" spans="1:19" x14ac:dyDescent="0.25">
      <c r="A28" s="2" t="s">
        <v>94</v>
      </c>
      <c r="B28" s="3">
        <v>87.06</v>
      </c>
      <c r="C28" s="3">
        <v>86.62</v>
      </c>
      <c r="D28" s="3">
        <v>87.56</v>
      </c>
      <c r="E28" s="3">
        <v>86.43</v>
      </c>
      <c r="F28" s="3">
        <v>68.849999999999994</v>
      </c>
      <c r="G28" s="3">
        <v>90</v>
      </c>
      <c r="H28" s="3">
        <v>0</v>
      </c>
      <c r="I28" s="3">
        <v>0</v>
      </c>
      <c r="J28" s="3">
        <v>8</v>
      </c>
      <c r="K28" s="3">
        <v>0</v>
      </c>
      <c r="L28" s="3">
        <v>12</v>
      </c>
      <c r="M28" s="3">
        <v>82.857139587402301</v>
      </c>
      <c r="N28" s="3">
        <v>39.588046796341303</v>
      </c>
      <c r="O28" s="3">
        <v>63.4004438871983</v>
      </c>
      <c r="P28" s="3">
        <v>90.014143000000004</v>
      </c>
      <c r="Q28" s="3">
        <v>0</v>
      </c>
      <c r="R28" s="3">
        <v>4</v>
      </c>
      <c r="S28" s="3">
        <v>806.379773270942</v>
      </c>
    </row>
    <row r="29" spans="1:19" x14ac:dyDescent="0.25">
      <c r="A29" s="2" t="s">
        <v>96</v>
      </c>
      <c r="B29" s="3">
        <v>88.71</v>
      </c>
      <c r="C29" s="3">
        <v>87.34</v>
      </c>
      <c r="D29" s="3">
        <v>89.92</v>
      </c>
      <c r="E29" s="3">
        <v>83.08</v>
      </c>
      <c r="F29" s="3">
        <v>83.02</v>
      </c>
      <c r="G29" s="3">
        <v>88.47</v>
      </c>
      <c r="H29" s="3">
        <v>0</v>
      </c>
      <c r="I29" s="3">
        <v>0</v>
      </c>
      <c r="J29" s="3">
        <v>10</v>
      </c>
      <c r="K29" s="3">
        <v>0</v>
      </c>
      <c r="L29" s="3">
        <v>9</v>
      </c>
      <c r="M29" s="3">
        <v>56.190475463867202</v>
      </c>
      <c r="N29" s="3">
        <v>0</v>
      </c>
      <c r="O29" s="3">
        <v>0</v>
      </c>
      <c r="P29" s="3">
        <v>90.559517</v>
      </c>
      <c r="Q29" s="3">
        <v>0</v>
      </c>
      <c r="R29" s="3">
        <v>8.6</v>
      </c>
      <c r="S29" s="3">
        <v>694.8899924638672</v>
      </c>
    </row>
    <row r="30" spans="1:19" x14ac:dyDescent="0.25">
      <c r="A30" s="2" t="s">
        <v>98</v>
      </c>
      <c r="B30" s="3">
        <v>59.72</v>
      </c>
      <c r="C30" s="3">
        <v>56.2</v>
      </c>
      <c r="D30" s="3">
        <v>63.51</v>
      </c>
      <c r="E30" s="3">
        <v>47.67</v>
      </c>
      <c r="F30" s="3">
        <v>48.08</v>
      </c>
      <c r="G30" s="3">
        <v>50</v>
      </c>
      <c r="H30" s="3">
        <v>0</v>
      </c>
      <c r="I30" s="3">
        <v>2.7</v>
      </c>
      <c r="J30" s="3">
        <v>9</v>
      </c>
      <c r="K30" s="3">
        <v>91.156606944973603</v>
      </c>
      <c r="L30" s="3">
        <v>12</v>
      </c>
      <c r="M30" s="3">
        <v>46.190475463867202</v>
      </c>
      <c r="N30" s="3">
        <v>0.57035338692373205</v>
      </c>
      <c r="O30" s="3">
        <v>21.237227253477698</v>
      </c>
      <c r="P30" s="3">
        <v>88.044751000000005</v>
      </c>
      <c r="Q30" s="3">
        <v>0</v>
      </c>
      <c r="R30" s="3">
        <v>10</v>
      </c>
      <c r="S30" s="3">
        <v>606.07941404924225</v>
      </c>
    </row>
    <row r="31" spans="1:19" x14ac:dyDescent="0.25">
      <c r="A31" s="2" t="s">
        <v>100</v>
      </c>
      <c r="B31" s="3">
        <v>68.489999999999995</v>
      </c>
      <c r="C31" s="3">
        <v>61.08</v>
      </c>
      <c r="D31" s="3">
        <v>76.34</v>
      </c>
      <c r="E31" s="3">
        <v>57.23</v>
      </c>
      <c r="F31" s="3">
        <v>51.75</v>
      </c>
      <c r="G31" s="3">
        <v>77.040000000000006</v>
      </c>
      <c r="H31" s="3">
        <v>0</v>
      </c>
      <c r="I31" s="3">
        <v>5.6</v>
      </c>
      <c r="J31" s="3">
        <v>5</v>
      </c>
      <c r="K31" s="3">
        <v>71.111576412909301</v>
      </c>
      <c r="L31" s="3">
        <v>13</v>
      </c>
      <c r="M31" s="3">
        <v>74.285713195800795</v>
      </c>
      <c r="N31" s="3">
        <v>7.2438669038614796</v>
      </c>
      <c r="O31" s="3">
        <v>68.879066876543803</v>
      </c>
      <c r="P31" s="3">
        <v>90.339671999999993</v>
      </c>
      <c r="Q31" s="3">
        <v>0</v>
      </c>
      <c r="R31" s="3">
        <v>23</v>
      </c>
      <c r="S31" s="3">
        <v>750.38989538911528</v>
      </c>
    </row>
    <row r="32" spans="1:19" x14ac:dyDescent="0.25">
      <c r="A32" s="2" t="s">
        <v>102</v>
      </c>
      <c r="B32" s="3">
        <v>50.76</v>
      </c>
      <c r="C32" s="3">
        <v>37.44</v>
      </c>
      <c r="D32" s="3">
        <v>64.010000000000005</v>
      </c>
      <c r="E32" s="3">
        <v>44.01</v>
      </c>
      <c r="F32" s="3">
        <v>43.99</v>
      </c>
      <c r="G32" s="3">
        <v>39.979999999999997</v>
      </c>
      <c r="H32" s="3">
        <v>0</v>
      </c>
      <c r="I32" s="3">
        <v>19.8</v>
      </c>
      <c r="J32" s="3">
        <v>7</v>
      </c>
      <c r="K32" s="3">
        <v>0</v>
      </c>
      <c r="L32" s="3">
        <v>10</v>
      </c>
      <c r="M32" s="3">
        <v>44.339622497558601</v>
      </c>
      <c r="N32" s="3">
        <v>0</v>
      </c>
      <c r="O32" s="3">
        <v>0</v>
      </c>
      <c r="P32" s="3">
        <v>59.718358000000002</v>
      </c>
      <c r="Q32" s="3">
        <v>0</v>
      </c>
      <c r="R32" s="3">
        <v>6</v>
      </c>
      <c r="S32" s="3">
        <v>427.04798049755863</v>
      </c>
    </row>
    <row r="33" spans="1:19" x14ac:dyDescent="0.25">
      <c r="A33" s="2" t="s">
        <v>104</v>
      </c>
      <c r="B33" s="3">
        <v>91.8</v>
      </c>
      <c r="C33" s="3">
        <v>89.96</v>
      </c>
      <c r="D33" s="3">
        <v>93.93</v>
      </c>
      <c r="E33" s="3">
        <v>84.46</v>
      </c>
      <c r="F33" s="3">
        <v>80.25</v>
      </c>
      <c r="G33" s="3">
        <v>76.11</v>
      </c>
      <c r="H33" s="3">
        <v>0</v>
      </c>
      <c r="I33" s="3">
        <v>10.1</v>
      </c>
      <c r="J33" s="3">
        <v>5</v>
      </c>
      <c r="K33" s="3">
        <v>98.4395620234109</v>
      </c>
      <c r="L33" s="3">
        <v>8</v>
      </c>
      <c r="M33" s="3">
        <v>59.9056587219238</v>
      </c>
      <c r="N33" s="3">
        <v>0</v>
      </c>
      <c r="O33" s="3">
        <v>0</v>
      </c>
      <c r="P33" s="3">
        <v>91.201190999999994</v>
      </c>
      <c r="Q33" s="3">
        <v>0</v>
      </c>
      <c r="R33" s="3">
        <v>19.5</v>
      </c>
      <c r="S33" s="3">
        <v>808.65641174533471</v>
      </c>
    </row>
    <row r="34" spans="1:19" x14ac:dyDescent="0.25">
      <c r="A34" s="2" t="s">
        <v>106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14</v>
      </c>
      <c r="M34" s="3">
        <v>0</v>
      </c>
      <c r="N34" s="3">
        <v>0</v>
      </c>
      <c r="O34" s="3">
        <v>0</v>
      </c>
      <c r="P34" s="3">
        <v>90.589427000000001</v>
      </c>
      <c r="Q34" s="3">
        <v>0</v>
      </c>
      <c r="R34" s="3">
        <v>0</v>
      </c>
      <c r="S34" s="3">
        <v>104.589427</v>
      </c>
    </row>
    <row r="35" spans="1:19" x14ac:dyDescent="0.25">
      <c r="A35" s="2" t="s">
        <v>48</v>
      </c>
      <c r="B35" s="3">
        <v>100</v>
      </c>
      <c r="C35" s="3">
        <v>100</v>
      </c>
      <c r="D35" s="3">
        <v>100</v>
      </c>
      <c r="E35" s="3">
        <v>100</v>
      </c>
      <c r="F35" s="3">
        <v>100</v>
      </c>
      <c r="G35" s="3">
        <v>100</v>
      </c>
      <c r="H35" s="3">
        <v>0</v>
      </c>
      <c r="I35" s="3">
        <v>3.4</v>
      </c>
      <c r="J35" s="3">
        <v>7</v>
      </c>
      <c r="K35" s="3">
        <v>0</v>
      </c>
      <c r="L35" s="3">
        <v>10</v>
      </c>
      <c r="M35" s="3">
        <v>100</v>
      </c>
      <c r="N35" s="3">
        <v>0</v>
      </c>
      <c r="O35" s="3">
        <v>0</v>
      </c>
      <c r="P35" s="3">
        <v>92.531153000000003</v>
      </c>
      <c r="Q35" s="3">
        <v>0</v>
      </c>
      <c r="R35" s="3">
        <v>3.5</v>
      </c>
      <c r="S35" s="3">
        <v>816.43115299999999</v>
      </c>
    </row>
    <row r="36" spans="1:19" x14ac:dyDescent="0.25">
      <c r="A36" s="2" t="s">
        <v>108</v>
      </c>
      <c r="B36" s="3">
        <v>51.3</v>
      </c>
      <c r="C36" s="3">
        <v>48.96</v>
      </c>
      <c r="D36" s="3">
        <v>53.7</v>
      </c>
      <c r="E36" s="3">
        <v>38.880000000000003</v>
      </c>
      <c r="F36" s="3">
        <v>39.369999999999997</v>
      </c>
      <c r="G36" s="3">
        <v>31.16</v>
      </c>
      <c r="H36" s="3">
        <v>0</v>
      </c>
      <c r="I36" s="3">
        <v>0</v>
      </c>
      <c r="J36" s="3">
        <v>5</v>
      </c>
      <c r="K36" s="3">
        <v>0</v>
      </c>
      <c r="L36" s="3">
        <v>15</v>
      </c>
      <c r="M36" s="3">
        <v>37.735847473144503</v>
      </c>
      <c r="N36" s="3">
        <v>1.75393802260007</v>
      </c>
      <c r="O36" s="3">
        <v>45.528247415436503</v>
      </c>
      <c r="P36" s="3">
        <v>84.390127000000007</v>
      </c>
      <c r="Q36" s="3">
        <v>0</v>
      </c>
      <c r="R36" s="3">
        <v>16.5</v>
      </c>
      <c r="S36" s="3">
        <v>469.27815991118115</v>
      </c>
    </row>
    <row r="37" spans="1:19" x14ac:dyDescent="0.25">
      <c r="A37" s="2" t="s">
        <v>50</v>
      </c>
      <c r="B37" s="3">
        <v>64.180000000000007</v>
      </c>
      <c r="C37" s="3">
        <v>57.95</v>
      </c>
      <c r="D37" s="3">
        <v>70.59</v>
      </c>
      <c r="E37" s="3">
        <v>59.15</v>
      </c>
      <c r="F37" s="3">
        <v>60.21</v>
      </c>
      <c r="G37" s="3">
        <v>54.54</v>
      </c>
      <c r="H37" s="3">
        <v>0</v>
      </c>
      <c r="I37" s="3">
        <v>0</v>
      </c>
      <c r="J37" s="3">
        <v>2</v>
      </c>
      <c r="K37" s="3">
        <v>0</v>
      </c>
      <c r="L37" s="3">
        <v>15</v>
      </c>
      <c r="M37" s="3">
        <v>34.761905670166001</v>
      </c>
      <c r="N37" s="3">
        <v>4.1750803061073096</v>
      </c>
      <c r="O37" s="3">
        <v>35.180797160643003</v>
      </c>
      <c r="P37" s="3">
        <v>86.675416999999996</v>
      </c>
      <c r="Q37" s="3">
        <v>0</v>
      </c>
      <c r="R37" s="3">
        <v>48.5</v>
      </c>
      <c r="S37" s="3">
        <v>592.91320013691643</v>
      </c>
    </row>
    <row r="38" spans="1:19" x14ac:dyDescent="0.25">
      <c r="A38" s="2" t="s">
        <v>110</v>
      </c>
      <c r="B38" s="3">
        <v>27.44</v>
      </c>
      <c r="C38" s="3">
        <v>24.2</v>
      </c>
      <c r="D38" s="3">
        <v>30.57</v>
      </c>
      <c r="E38" s="3">
        <v>20</v>
      </c>
      <c r="F38" s="3">
        <v>25</v>
      </c>
      <c r="G38" s="3">
        <v>9.74</v>
      </c>
      <c r="H38" s="3">
        <v>0</v>
      </c>
      <c r="I38" s="3">
        <v>4.9000000000000004</v>
      </c>
      <c r="J38" s="3">
        <v>8</v>
      </c>
      <c r="K38" s="3">
        <v>0</v>
      </c>
      <c r="L38" s="3">
        <v>12</v>
      </c>
      <c r="M38" s="3">
        <v>28.571428298950199</v>
      </c>
      <c r="N38" s="3">
        <v>0</v>
      </c>
      <c r="O38" s="3">
        <v>0</v>
      </c>
      <c r="P38" s="3">
        <v>80.987706000000003</v>
      </c>
      <c r="Q38" s="3">
        <v>0</v>
      </c>
      <c r="R38" s="3">
        <v>12.5</v>
      </c>
      <c r="S38" s="3">
        <v>283.90913429895022</v>
      </c>
    </row>
    <row r="39" spans="1:19" x14ac:dyDescent="0.25">
      <c r="A39" s="2" t="s">
        <v>112</v>
      </c>
      <c r="B39" s="3">
        <v>35.85</v>
      </c>
      <c r="C39" s="3">
        <v>29.23</v>
      </c>
      <c r="D39" s="3">
        <v>44.8</v>
      </c>
      <c r="E39" s="3">
        <v>23.08</v>
      </c>
      <c r="F39" s="3">
        <v>27.96</v>
      </c>
      <c r="G39" s="3">
        <v>31.65</v>
      </c>
      <c r="H39" s="3">
        <v>0</v>
      </c>
      <c r="I39" s="3">
        <v>3.1</v>
      </c>
      <c r="J39" s="3">
        <v>3</v>
      </c>
      <c r="K39" s="3">
        <v>101.704452248702</v>
      </c>
      <c r="L39" s="3">
        <v>15</v>
      </c>
      <c r="M39" s="3">
        <v>33.809524536132798</v>
      </c>
      <c r="N39" s="3">
        <v>2.0050918453445599</v>
      </c>
      <c r="O39" s="3">
        <v>83.667764276266894</v>
      </c>
      <c r="P39" s="3">
        <v>81.834863999999996</v>
      </c>
      <c r="Q39" s="3">
        <v>0</v>
      </c>
      <c r="R39" s="3">
        <v>16.5</v>
      </c>
      <c r="S39" s="3">
        <v>533.19169690644628</v>
      </c>
    </row>
    <row r="40" spans="1:19" x14ac:dyDescent="0.25">
      <c r="A40" s="2" t="s">
        <v>114</v>
      </c>
      <c r="B40" s="3">
        <v>99.38</v>
      </c>
      <c r="C40" s="3">
        <v>99.6</v>
      </c>
      <c r="D40" s="3">
        <v>99.12</v>
      </c>
      <c r="E40" s="3">
        <v>99.46</v>
      </c>
      <c r="F40" s="3">
        <v>98.39</v>
      </c>
      <c r="G40" s="3">
        <v>100</v>
      </c>
      <c r="H40" s="3">
        <v>0</v>
      </c>
      <c r="I40" s="3">
        <v>0</v>
      </c>
      <c r="J40" s="3">
        <v>8</v>
      </c>
      <c r="K40" s="3">
        <v>24.902583651285902</v>
      </c>
      <c r="L40" s="3">
        <v>9</v>
      </c>
      <c r="M40" s="3">
        <v>92.380950927734403</v>
      </c>
      <c r="N40" s="3">
        <v>0</v>
      </c>
      <c r="O40" s="3">
        <v>0</v>
      </c>
      <c r="P40" s="3">
        <v>91.100279</v>
      </c>
      <c r="Q40" s="3">
        <v>0</v>
      </c>
      <c r="R40" s="3">
        <v>3.5</v>
      </c>
      <c r="S40" s="3">
        <v>824.83381357902033</v>
      </c>
    </row>
    <row r="41" spans="1:19" x14ac:dyDescent="0.25">
      <c r="A41" s="2" t="s">
        <v>116</v>
      </c>
      <c r="B41" s="3">
        <v>46.48</v>
      </c>
      <c r="C41" s="3">
        <v>38.74</v>
      </c>
      <c r="D41" s="3">
        <v>54.68</v>
      </c>
      <c r="E41" s="3">
        <v>34.69</v>
      </c>
      <c r="F41" s="3">
        <v>38.97</v>
      </c>
      <c r="G41" s="3">
        <v>46.82</v>
      </c>
      <c r="H41" s="3">
        <v>0</v>
      </c>
      <c r="I41" s="3">
        <v>0</v>
      </c>
      <c r="J41" s="3">
        <v>3</v>
      </c>
      <c r="K41" s="3">
        <v>31.448848674036402</v>
      </c>
      <c r="L41" s="3">
        <v>8</v>
      </c>
      <c r="M41" s="3">
        <v>40.476188659667997</v>
      </c>
      <c r="N41" s="3">
        <v>0</v>
      </c>
      <c r="O41" s="3">
        <v>0</v>
      </c>
      <c r="P41" s="3">
        <v>74.923299999999998</v>
      </c>
      <c r="Q41" s="3">
        <v>0</v>
      </c>
      <c r="R41" s="3">
        <v>32</v>
      </c>
      <c r="S41" s="3">
        <v>450.22833733370436</v>
      </c>
    </row>
    <row r="42" spans="1:19" x14ac:dyDescent="0.25">
      <c r="A42" s="2" t="s">
        <v>118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</v>
      </c>
      <c r="K42" s="3">
        <v>0</v>
      </c>
      <c r="L42" s="3">
        <v>0</v>
      </c>
      <c r="M42" s="3">
        <v>74.761901855468807</v>
      </c>
      <c r="N42" s="3">
        <v>0</v>
      </c>
      <c r="O42" s="3">
        <v>0</v>
      </c>
      <c r="P42" s="3">
        <v>69.209863999999996</v>
      </c>
      <c r="Q42" s="3">
        <v>0</v>
      </c>
      <c r="R42" s="3">
        <v>40</v>
      </c>
      <c r="S42" s="3">
        <v>185.97176585546879</v>
      </c>
    </row>
    <row r="43" spans="1:19" x14ac:dyDescent="0.25">
      <c r="A43" s="2" t="s">
        <v>120</v>
      </c>
      <c r="B43" s="3">
        <v>99.53</v>
      </c>
      <c r="C43" s="3">
        <v>99.08</v>
      </c>
      <c r="D43" s="3">
        <v>100</v>
      </c>
      <c r="E43" s="3">
        <v>98.82</v>
      </c>
      <c r="F43" s="3">
        <v>98.31</v>
      </c>
      <c r="G43" s="3">
        <v>96.47</v>
      </c>
      <c r="H43" s="3">
        <v>0</v>
      </c>
      <c r="I43" s="3">
        <v>2.8</v>
      </c>
      <c r="J43" s="3">
        <v>6</v>
      </c>
      <c r="K43" s="3">
        <v>0</v>
      </c>
      <c r="L43" s="3">
        <v>11</v>
      </c>
      <c r="M43" s="3">
        <v>99.528305053710895</v>
      </c>
      <c r="N43" s="3">
        <v>0</v>
      </c>
      <c r="O43" s="3">
        <v>0</v>
      </c>
      <c r="P43" s="3">
        <v>93.323884000000007</v>
      </c>
      <c r="Q43" s="3">
        <v>0</v>
      </c>
      <c r="R43" s="3">
        <v>13</v>
      </c>
      <c r="S43" s="3">
        <v>817.86218905371095</v>
      </c>
    </row>
    <row r="44" spans="1:19" x14ac:dyDescent="0.25">
      <c r="A44" s="2" t="s">
        <v>122</v>
      </c>
      <c r="B44" s="3">
        <v>99.24</v>
      </c>
      <c r="C44" s="3">
        <v>100</v>
      </c>
      <c r="D44" s="3">
        <v>98.42</v>
      </c>
      <c r="E44" s="3">
        <v>98.4</v>
      </c>
      <c r="F44" s="3">
        <v>95.87</v>
      </c>
      <c r="G44" s="3">
        <v>99.24</v>
      </c>
      <c r="H44" s="3">
        <v>0</v>
      </c>
      <c r="I44" s="3">
        <v>1.6</v>
      </c>
      <c r="J44" s="3">
        <v>8</v>
      </c>
      <c r="K44" s="3">
        <v>123.148570476633</v>
      </c>
      <c r="L44" s="3">
        <v>13</v>
      </c>
      <c r="M44" s="3">
        <v>89.047622680664105</v>
      </c>
      <c r="N44" s="3">
        <v>0</v>
      </c>
      <c r="O44" s="3">
        <v>0</v>
      </c>
      <c r="P44" s="3">
        <v>92.822394000000003</v>
      </c>
      <c r="Q44" s="3">
        <v>0</v>
      </c>
      <c r="R44" s="3">
        <v>4</v>
      </c>
      <c r="S44" s="3">
        <v>922.78858715729723</v>
      </c>
    </row>
    <row r="45" spans="1:19" x14ac:dyDescent="0.25">
      <c r="A45" s="2" t="s">
        <v>124</v>
      </c>
      <c r="B45" s="3">
        <v>70.5</v>
      </c>
      <c r="C45" s="3">
        <v>70.709999999999994</v>
      </c>
      <c r="D45" s="3">
        <v>70.25</v>
      </c>
      <c r="E45" s="3">
        <v>62.45</v>
      </c>
      <c r="F45" s="3">
        <v>41.71</v>
      </c>
      <c r="G45" s="3">
        <v>54.54</v>
      </c>
      <c r="H45" s="3">
        <v>0</v>
      </c>
      <c r="I45" s="3">
        <v>1.3</v>
      </c>
      <c r="J45" s="3">
        <v>9</v>
      </c>
      <c r="K45" s="3">
        <v>65.193315792644995</v>
      </c>
      <c r="L45" s="3">
        <v>9</v>
      </c>
      <c r="M45" s="3">
        <v>76.190475463867202</v>
      </c>
      <c r="N45" s="3">
        <v>0</v>
      </c>
      <c r="O45" s="3">
        <v>65.973896344421107</v>
      </c>
      <c r="P45" s="3">
        <v>87.716818000000004</v>
      </c>
      <c r="Q45" s="3">
        <v>0</v>
      </c>
      <c r="R45" s="3">
        <v>1</v>
      </c>
      <c r="S45" s="3">
        <v>685.53450560093324</v>
      </c>
    </row>
    <row r="46" spans="1:19" x14ac:dyDescent="0.25">
      <c r="A46" s="2" t="s">
        <v>126</v>
      </c>
      <c r="B46" s="3">
        <v>99.98</v>
      </c>
      <c r="C46" s="3">
        <v>100</v>
      </c>
      <c r="D46" s="3">
        <v>99.95</v>
      </c>
      <c r="E46" s="3">
        <v>99.94</v>
      </c>
      <c r="F46" s="3">
        <v>100</v>
      </c>
      <c r="G46" s="3">
        <v>100</v>
      </c>
      <c r="H46" s="3">
        <v>0</v>
      </c>
      <c r="I46" s="3">
        <v>2.2000000000000002</v>
      </c>
      <c r="J46" s="3">
        <v>5</v>
      </c>
      <c r="K46" s="3">
        <v>0</v>
      </c>
      <c r="L46" s="3">
        <v>13</v>
      </c>
      <c r="M46" s="3">
        <v>95.754714965820298</v>
      </c>
      <c r="N46" s="3">
        <v>0</v>
      </c>
      <c r="O46" s="3">
        <v>0</v>
      </c>
      <c r="P46" s="3">
        <v>92.122854000000004</v>
      </c>
      <c r="Q46" s="3">
        <v>0</v>
      </c>
      <c r="R46" s="3">
        <v>8</v>
      </c>
      <c r="S46" s="3">
        <v>815.94756896582032</v>
      </c>
    </row>
    <row r="47" spans="1:19" x14ac:dyDescent="0.25">
      <c r="A47" s="2" t="s">
        <v>128</v>
      </c>
      <c r="B47" s="3">
        <v>68.23</v>
      </c>
      <c r="C47" s="3">
        <v>62.58</v>
      </c>
      <c r="D47" s="3">
        <v>74.180000000000007</v>
      </c>
      <c r="E47" s="3">
        <v>54.72</v>
      </c>
      <c r="F47" s="3">
        <v>51.59</v>
      </c>
      <c r="G47" s="3">
        <v>65.22</v>
      </c>
      <c r="H47" s="3">
        <v>0</v>
      </c>
      <c r="I47" s="3">
        <v>17</v>
      </c>
      <c r="J47" s="3">
        <v>7</v>
      </c>
      <c r="K47" s="3">
        <v>0</v>
      </c>
      <c r="L47" s="3">
        <v>11</v>
      </c>
      <c r="M47" s="3">
        <v>52.830188751220703</v>
      </c>
      <c r="N47" s="3">
        <v>0</v>
      </c>
      <c r="O47" s="3">
        <v>0</v>
      </c>
      <c r="P47" s="3">
        <v>69.697326000000004</v>
      </c>
      <c r="Q47" s="3">
        <v>0</v>
      </c>
      <c r="R47" s="3">
        <v>13</v>
      </c>
      <c r="S47" s="3">
        <v>547.04751475122077</v>
      </c>
    </row>
    <row r="48" spans="1:19" x14ac:dyDescent="0.25">
      <c r="A48" s="2" t="s">
        <v>130</v>
      </c>
      <c r="B48" s="3">
        <v>94.88</v>
      </c>
      <c r="C48" s="3">
        <v>93.43</v>
      </c>
      <c r="D48" s="3">
        <v>96.33</v>
      </c>
      <c r="E48" s="3">
        <v>91.64</v>
      </c>
      <c r="F48" s="3">
        <v>91.83</v>
      </c>
      <c r="G48" s="3">
        <v>90.14</v>
      </c>
      <c r="H48" s="3">
        <v>0</v>
      </c>
      <c r="I48" s="3">
        <v>5.5</v>
      </c>
      <c r="J48" s="3">
        <v>9</v>
      </c>
      <c r="K48" s="3">
        <v>249.411353803704</v>
      </c>
      <c r="L48" s="3">
        <v>10</v>
      </c>
      <c r="M48" s="3">
        <v>59.523811340332003</v>
      </c>
      <c r="N48" s="3">
        <v>0</v>
      </c>
      <c r="O48" s="3">
        <v>0</v>
      </c>
      <c r="P48" s="3">
        <v>93.564454999999995</v>
      </c>
      <c r="Q48" s="3">
        <v>0</v>
      </c>
      <c r="R48" s="3">
        <v>4</v>
      </c>
      <c r="S48" s="3">
        <v>989.24962014403604</v>
      </c>
    </row>
    <row r="49" spans="1:19" x14ac:dyDescent="0.25">
      <c r="A49" s="2" t="s">
        <v>132</v>
      </c>
      <c r="B49" s="3">
        <v>36.979999999999997</v>
      </c>
      <c r="C49" s="3">
        <v>34.35</v>
      </c>
      <c r="D49" s="3">
        <v>39.93</v>
      </c>
      <c r="E49" s="3">
        <v>33.869999999999997</v>
      </c>
      <c r="F49" s="3">
        <v>29.04</v>
      </c>
      <c r="G49" s="3">
        <v>38.18</v>
      </c>
      <c r="H49" s="3">
        <v>0</v>
      </c>
      <c r="I49" s="3">
        <v>0</v>
      </c>
      <c r="J49" s="3">
        <v>3</v>
      </c>
      <c r="K49" s="3">
        <v>0</v>
      </c>
      <c r="L49" s="3">
        <v>16</v>
      </c>
      <c r="M49" s="3">
        <v>18.571428298950199</v>
      </c>
      <c r="N49" s="3">
        <v>0</v>
      </c>
      <c r="O49" s="3">
        <v>0</v>
      </c>
      <c r="P49" s="3">
        <v>78.985461000000001</v>
      </c>
      <c r="Q49" s="3">
        <v>0</v>
      </c>
      <c r="R49" s="3">
        <v>15</v>
      </c>
      <c r="S49" s="3">
        <v>343.9068892989502</v>
      </c>
    </row>
    <row r="50" spans="1:19" x14ac:dyDescent="0.25">
      <c r="A50" s="2" t="s">
        <v>134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5</v>
      </c>
      <c r="K50" s="3">
        <v>0</v>
      </c>
      <c r="L50" s="3">
        <v>6</v>
      </c>
      <c r="M50" s="3">
        <v>50.476188659667997</v>
      </c>
      <c r="N50" s="3">
        <v>0</v>
      </c>
      <c r="O50" s="3">
        <v>0</v>
      </c>
      <c r="P50" s="3">
        <v>76.721147999999999</v>
      </c>
      <c r="Q50" s="3">
        <v>0</v>
      </c>
      <c r="R50" s="3">
        <v>18</v>
      </c>
      <c r="S50" s="3">
        <v>156.197336659668</v>
      </c>
    </row>
    <row r="51" spans="1:19" x14ac:dyDescent="0.25">
      <c r="A51" s="2" t="s">
        <v>136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2</v>
      </c>
      <c r="K51" s="3">
        <v>0</v>
      </c>
      <c r="L51" s="3">
        <v>6</v>
      </c>
      <c r="M51" s="3">
        <v>8.5714282989502006</v>
      </c>
      <c r="N51" s="3">
        <v>0</v>
      </c>
      <c r="O51" s="3">
        <v>0</v>
      </c>
      <c r="P51" s="3">
        <v>70.181115000000005</v>
      </c>
      <c r="Q51" s="3">
        <v>0</v>
      </c>
      <c r="R51" s="3">
        <v>97</v>
      </c>
      <c r="S51" s="3">
        <v>183.7525432989502</v>
      </c>
    </row>
    <row r="52" spans="1:19" x14ac:dyDescent="0.25">
      <c r="A52" s="2" t="s">
        <v>138</v>
      </c>
      <c r="B52" s="3">
        <v>37.85</v>
      </c>
      <c r="C52" s="3">
        <v>28.85</v>
      </c>
      <c r="D52" s="3">
        <v>48.56</v>
      </c>
      <c r="E52" s="3">
        <v>26.97</v>
      </c>
      <c r="F52" s="3">
        <v>31.83</v>
      </c>
      <c r="G52" s="3">
        <v>36.1</v>
      </c>
      <c r="H52" s="3">
        <v>0</v>
      </c>
      <c r="I52" s="3">
        <v>0</v>
      </c>
      <c r="J52" s="3">
        <v>3</v>
      </c>
      <c r="K52" s="3">
        <v>0</v>
      </c>
      <c r="L52" s="3">
        <v>12</v>
      </c>
      <c r="M52" s="3">
        <v>21.428571701049801</v>
      </c>
      <c r="N52" s="3">
        <v>0.202738011804246</v>
      </c>
      <c r="O52" s="3">
        <v>11.197468643693799</v>
      </c>
      <c r="P52" s="3">
        <v>82.010129000000006</v>
      </c>
      <c r="Q52" s="3">
        <v>0</v>
      </c>
      <c r="R52" s="3">
        <v>42</v>
      </c>
      <c r="S52" s="3">
        <v>381.99890735654787</v>
      </c>
    </row>
    <row r="53" spans="1:19" x14ac:dyDescent="0.25">
      <c r="A53" s="2" t="s">
        <v>140</v>
      </c>
      <c r="B53" s="3">
        <v>97.8</v>
      </c>
      <c r="C53" s="3">
        <v>98.19</v>
      </c>
      <c r="D53" s="3">
        <v>97.33</v>
      </c>
      <c r="E53" s="3">
        <v>96.46</v>
      </c>
      <c r="F53" s="3">
        <v>96.14</v>
      </c>
      <c r="G53" s="3">
        <v>88.88</v>
      </c>
      <c r="H53" s="3">
        <v>0</v>
      </c>
      <c r="I53" s="3">
        <v>2.6</v>
      </c>
      <c r="J53" s="3">
        <v>10</v>
      </c>
      <c r="K53" s="3">
        <v>0</v>
      </c>
      <c r="L53" s="3">
        <v>9</v>
      </c>
      <c r="M53" s="3">
        <v>94.285713195800795</v>
      </c>
      <c r="N53" s="3">
        <v>0</v>
      </c>
      <c r="O53" s="3">
        <v>0</v>
      </c>
      <c r="P53" s="3">
        <v>94.539866000000004</v>
      </c>
      <c r="Q53" s="3">
        <v>0</v>
      </c>
      <c r="R53" s="3">
        <v>1.5</v>
      </c>
      <c r="S53" s="3">
        <v>786.72557919580072</v>
      </c>
    </row>
    <row r="54" spans="1:19" x14ac:dyDescent="0.25">
      <c r="A54" s="2" t="s">
        <v>142</v>
      </c>
      <c r="B54" s="3">
        <v>88.22</v>
      </c>
      <c r="C54" s="3">
        <v>86.88</v>
      </c>
      <c r="D54" s="3">
        <v>89.73</v>
      </c>
      <c r="E54" s="3">
        <v>81.25</v>
      </c>
      <c r="F54" s="3">
        <v>71.58</v>
      </c>
      <c r="G54" s="3">
        <v>92.49</v>
      </c>
      <c r="H54" s="3">
        <v>0</v>
      </c>
      <c r="I54" s="3">
        <v>4.7</v>
      </c>
      <c r="J54" s="3">
        <v>2</v>
      </c>
      <c r="K54" s="3">
        <v>95.937202249321601</v>
      </c>
      <c r="L54" s="3">
        <v>13</v>
      </c>
      <c r="M54" s="3">
        <v>58.5714302062988</v>
      </c>
      <c r="N54" s="3">
        <v>0</v>
      </c>
      <c r="O54" s="3">
        <v>0</v>
      </c>
      <c r="P54" s="3">
        <v>87.281903</v>
      </c>
      <c r="Q54" s="3">
        <v>0</v>
      </c>
      <c r="R54" s="3">
        <v>7</v>
      </c>
      <c r="S54" s="3">
        <v>778.64053545562047</v>
      </c>
    </row>
    <row r="55" spans="1:19" x14ac:dyDescent="0.25">
      <c r="A55" s="2" t="s">
        <v>144</v>
      </c>
      <c r="B55" s="3">
        <v>100</v>
      </c>
      <c r="C55" s="3">
        <v>100</v>
      </c>
      <c r="D55" s="3">
        <v>100</v>
      </c>
      <c r="E55" s="3">
        <v>100</v>
      </c>
      <c r="F55" s="3">
        <v>100</v>
      </c>
      <c r="G55" s="3">
        <v>100</v>
      </c>
      <c r="H55" s="3">
        <v>0</v>
      </c>
      <c r="I55" s="3">
        <v>0</v>
      </c>
      <c r="J55" s="3">
        <v>7</v>
      </c>
      <c r="K55" s="3">
        <v>100.316262095676</v>
      </c>
      <c r="L55" s="3">
        <v>10</v>
      </c>
      <c r="M55" s="3">
        <v>95.238098144531193</v>
      </c>
      <c r="N55" s="3">
        <v>0</v>
      </c>
      <c r="O55" s="3">
        <v>0</v>
      </c>
      <c r="P55" s="3">
        <v>93.233912000000004</v>
      </c>
      <c r="Q55" s="3">
        <v>0</v>
      </c>
      <c r="R55" s="3">
        <v>11.5</v>
      </c>
      <c r="S55" s="3">
        <v>917.28827224020722</v>
      </c>
    </row>
    <row r="56" spans="1:19" x14ac:dyDescent="0.25">
      <c r="A56" s="2" t="s">
        <v>146</v>
      </c>
      <c r="B56" s="3">
        <v>77.53</v>
      </c>
      <c r="C56" s="3">
        <v>77.55</v>
      </c>
      <c r="D56" s="3">
        <v>77.510000000000005</v>
      </c>
      <c r="E56" s="3">
        <v>78.25</v>
      </c>
      <c r="F56" s="3">
        <v>75.900000000000006</v>
      </c>
      <c r="G56" s="3">
        <v>67.5</v>
      </c>
      <c r="H56" s="3">
        <v>0</v>
      </c>
      <c r="I56" s="3">
        <v>27.2</v>
      </c>
      <c r="J56" s="3">
        <v>8</v>
      </c>
      <c r="K56" s="3">
        <v>0</v>
      </c>
      <c r="L56" s="3">
        <v>8</v>
      </c>
      <c r="M56" s="3">
        <v>44.811321258544901</v>
      </c>
      <c r="N56" s="3">
        <v>0</v>
      </c>
      <c r="O56" s="3">
        <v>0</v>
      </c>
      <c r="P56" s="3">
        <v>78.057246000000006</v>
      </c>
      <c r="Q56" s="3">
        <v>0</v>
      </c>
      <c r="R56" s="3">
        <v>17.5</v>
      </c>
      <c r="S56" s="3">
        <v>637.80856725854483</v>
      </c>
    </row>
    <row r="57" spans="1:19" x14ac:dyDescent="0.25">
      <c r="A57" s="2" t="s">
        <v>148</v>
      </c>
      <c r="B57" s="3">
        <v>51.76</v>
      </c>
      <c r="C57" s="3">
        <v>52.3</v>
      </c>
      <c r="D57" s="3">
        <v>51.18</v>
      </c>
      <c r="E57" s="3">
        <v>46.93</v>
      </c>
      <c r="F57" s="3">
        <v>40.49</v>
      </c>
      <c r="G57" s="3">
        <v>54.64</v>
      </c>
      <c r="H57" s="3">
        <v>0</v>
      </c>
      <c r="I57" s="3">
        <v>20.3</v>
      </c>
      <c r="J57" s="3">
        <v>10</v>
      </c>
      <c r="K57" s="3">
        <v>45.336556933899601</v>
      </c>
      <c r="L57" s="3">
        <v>9</v>
      </c>
      <c r="M57" s="3">
        <v>37.264152526855497</v>
      </c>
      <c r="N57" s="3">
        <v>3.7915775874113198</v>
      </c>
      <c r="O57" s="3">
        <v>43.8656004035671</v>
      </c>
      <c r="P57" s="3">
        <v>78.013812000000001</v>
      </c>
      <c r="Q57" s="3">
        <v>0</v>
      </c>
      <c r="R57" s="3">
        <v>12.6</v>
      </c>
      <c r="S57" s="3">
        <v>557.47169945173357</v>
      </c>
    </row>
    <row r="58" spans="1:19" x14ac:dyDescent="0.25">
      <c r="A58" s="2" t="s">
        <v>150</v>
      </c>
      <c r="B58" s="3">
        <v>18.57</v>
      </c>
      <c r="C58" s="3">
        <v>14.89</v>
      </c>
      <c r="D58" s="3">
        <v>22.21</v>
      </c>
      <c r="E58" s="3">
        <v>14.43</v>
      </c>
      <c r="F58" s="3">
        <v>15.48</v>
      </c>
      <c r="G58" s="3">
        <v>12.49</v>
      </c>
      <c r="H58" s="3">
        <v>0</v>
      </c>
      <c r="I58" s="3">
        <v>50.5</v>
      </c>
      <c r="J58" s="3">
        <v>4</v>
      </c>
      <c r="K58" s="3">
        <v>0</v>
      </c>
      <c r="L58" s="3">
        <v>6</v>
      </c>
      <c r="M58" s="3">
        <v>10.8490562438965</v>
      </c>
      <c r="N58" s="3">
        <v>0</v>
      </c>
      <c r="O58" s="3">
        <v>0</v>
      </c>
      <c r="P58" s="3">
        <v>81.023533999999998</v>
      </c>
      <c r="Q58" s="3">
        <v>0</v>
      </c>
      <c r="R58" s="3">
        <v>26.5</v>
      </c>
      <c r="S58" s="3">
        <v>276.94259024389652</v>
      </c>
    </row>
    <row r="59" spans="1:19" x14ac:dyDescent="0.25">
      <c r="A59" s="2" t="s">
        <v>152</v>
      </c>
      <c r="B59" s="3">
        <v>99.66</v>
      </c>
      <c r="C59" s="3">
        <v>99.53</v>
      </c>
      <c r="D59" s="3">
        <v>99.8</v>
      </c>
      <c r="E59" s="3">
        <v>99.29</v>
      </c>
      <c r="F59" s="3">
        <v>100</v>
      </c>
      <c r="G59" s="3">
        <v>100</v>
      </c>
      <c r="H59" s="3">
        <v>0</v>
      </c>
      <c r="I59" s="3">
        <v>0.4</v>
      </c>
      <c r="J59" s="3">
        <v>9</v>
      </c>
      <c r="K59" s="3">
        <v>70.004779005324195</v>
      </c>
      <c r="L59" s="3">
        <v>10</v>
      </c>
      <c r="M59" s="3">
        <v>93.867927551269503</v>
      </c>
      <c r="N59" s="3">
        <v>0</v>
      </c>
      <c r="O59" s="3">
        <v>0</v>
      </c>
      <c r="P59" s="3">
        <v>93.042660999999995</v>
      </c>
      <c r="Q59" s="3">
        <v>0</v>
      </c>
      <c r="R59" s="3">
        <v>11</v>
      </c>
      <c r="S59" s="3">
        <v>885.5953675565936</v>
      </c>
    </row>
    <row r="60" spans="1:19" x14ac:dyDescent="0.25">
      <c r="A60" s="2" t="s">
        <v>154</v>
      </c>
      <c r="B60" s="3">
        <v>92.93</v>
      </c>
      <c r="C60" s="3">
        <v>91.93</v>
      </c>
      <c r="D60" s="3">
        <v>93.97</v>
      </c>
      <c r="E60" s="3">
        <v>89.02</v>
      </c>
      <c r="F60" s="3">
        <v>62.76</v>
      </c>
      <c r="G60" s="3">
        <v>71.05</v>
      </c>
      <c r="H60" s="3">
        <v>0</v>
      </c>
      <c r="I60" s="3">
        <v>0</v>
      </c>
      <c r="J60" s="3">
        <v>7</v>
      </c>
      <c r="K60" s="3">
        <v>0</v>
      </c>
      <c r="L60" s="3">
        <v>15</v>
      </c>
      <c r="M60" s="3">
        <v>80</v>
      </c>
      <c r="N60" s="3">
        <v>0</v>
      </c>
      <c r="O60" s="3">
        <v>0</v>
      </c>
      <c r="P60" s="3">
        <v>93.913788999999994</v>
      </c>
      <c r="Q60" s="3">
        <v>0</v>
      </c>
      <c r="R60" s="3">
        <v>11</v>
      </c>
      <c r="S60" s="3">
        <v>708.57378900000003</v>
      </c>
    </row>
    <row r="61" spans="1:19" x14ac:dyDescent="0.25">
      <c r="A61" s="2" t="s">
        <v>156</v>
      </c>
      <c r="B61" s="3">
        <v>97.29</v>
      </c>
      <c r="C61" s="3">
        <v>97.09</v>
      </c>
      <c r="D61" s="3">
        <v>97.48</v>
      </c>
      <c r="E61" s="3">
        <v>94.79</v>
      </c>
      <c r="F61" s="3">
        <v>97.25</v>
      </c>
      <c r="G61" s="3">
        <v>82.77</v>
      </c>
      <c r="H61" s="3">
        <v>0</v>
      </c>
      <c r="I61" s="3">
        <v>11.8</v>
      </c>
      <c r="J61" s="3">
        <v>7</v>
      </c>
      <c r="K61" s="3">
        <v>0</v>
      </c>
      <c r="L61" s="3">
        <v>12</v>
      </c>
      <c r="M61" s="3">
        <v>68.867927551269503</v>
      </c>
      <c r="N61" s="3">
        <v>0</v>
      </c>
      <c r="O61" s="3">
        <v>0</v>
      </c>
      <c r="P61" s="3">
        <v>94.055218999999994</v>
      </c>
      <c r="Q61" s="3">
        <v>0</v>
      </c>
      <c r="R61" s="3">
        <v>11</v>
      </c>
      <c r="S61" s="3">
        <v>771.39314655126952</v>
      </c>
    </row>
    <row r="62" spans="1:19" x14ac:dyDescent="0.25">
      <c r="A62" s="2" t="s">
        <v>158</v>
      </c>
      <c r="B62" s="3">
        <v>73.3</v>
      </c>
      <c r="C62" s="3">
        <v>71.55</v>
      </c>
      <c r="D62" s="3">
        <v>75.11</v>
      </c>
      <c r="E62" s="3">
        <v>67.69</v>
      </c>
      <c r="F62" s="3">
        <v>59.94</v>
      </c>
      <c r="G62" s="3">
        <v>75.36</v>
      </c>
      <c r="H62" s="3">
        <v>0</v>
      </c>
      <c r="I62" s="3">
        <v>0</v>
      </c>
      <c r="J62" s="3">
        <v>4</v>
      </c>
      <c r="K62" s="3">
        <v>106.282373001667</v>
      </c>
      <c r="L62" s="3">
        <v>6</v>
      </c>
      <c r="M62" s="3">
        <v>53.809524536132798</v>
      </c>
      <c r="N62" s="3">
        <v>0</v>
      </c>
      <c r="O62" s="3">
        <v>0</v>
      </c>
      <c r="P62" s="3">
        <v>79.916115000000005</v>
      </c>
      <c r="Q62" s="3">
        <v>0</v>
      </c>
      <c r="R62" s="3">
        <v>3</v>
      </c>
      <c r="S62" s="3">
        <v>675.95801253779973</v>
      </c>
    </row>
    <row r="63" spans="1:19" x14ac:dyDescent="0.25">
      <c r="A63" s="2" t="s">
        <v>160</v>
      </c>
      <c r="B63" s="3">
        <v>98.49</v>
      </c>
      <c r="C63" s="3">
        <v>98.84</v>
      </c>
      <c r="D63" s="3">
        <v>98.12</v>
      </c>
      <c r="E63" s="3">
        <v>98.47</v>
      </c>
      <c r="F63" s="3">
        <v>94.1</v>
      </c>
      <c r="G63" s="3">
        <v>90.23</v>
      </c>
      <c r="H63" s="3">
        <v>0</v>
      </c>
      <c r="I63" s="3">
        <v>0</v>
      </c>
      <c r="J63" s="3">
        <v>7</v>
      </c>
      <c r="K63" s="3">
        <v>216.32936485674099</v>
      </c>
      <c r="L63" s="3">
        <v>9</v>
      </c>
      <c r="M63" s="3">
        <v>90.952377319335895</v>
      </c>
      <c r="N63" s="3">
        <v>0</v>
      </c>
      <c r="O63" s="3">
        <v>0</v>
      </c>
      <c r="P63" s="3">
        <v>94.569141000000002</v>
      </c>
      <c r="Q63" s="3">
        <v>0</v>
      </c>
      <c r="R63" s="3">
        <v>11.2</v>
      </c>
      <c r="S63" s="3">
        <v>1007.3008831760769</v>
      </c>
    </row>
    <row r="64" spans="1:19" x14ac:dyDescent="0.25">
      <c r="A64" s="2" t="s">
        <v>162</v>
      </c>
      <c r="B64" s="3">
        <v>47.12</v>
      </c>
      <c r="C64" s="3">
        <v>34.06</v>
      </c>
      <c r="D64" s="3">
        <v>58.6</v>
      </c>
      <c r="E64" s="3">
        <v>37.01</v>
      </c>
      <c r="F64" s="3">
        <v>38.71</v>
      </c>
      <c r="G64" s="3">
        <v>28.69</v>
      </c>
      <c r="H64" s="3">
        <v>0</v>
      </c>
      <c r="I64" s="3">
        <v>2.5</v>
      </c>
      <c r="J64" s="3">
        <v>4</v>
      </c>
      <c r="K64" s="3">
        <v>100.908283146258</v>
      </c>
      <c r="L64" s="3">
        <v>10</v>
      </c>
      <c r="M64" s="3">
        <v>58.5714302062988</v>
      </c>
      <c r="N64" s="3">
        <v>0</v>
      </c>
      <c r="O64" s="3">
        <v>0</v>
      </c>
      <c r="P64" s="3">
        <v>89.132171999999997</v>
      </c>
      <c r="Q64" s="3">
        <v>0</v>
      </c>
      <c r="R64" s="3">
        <v>12.5</v>
      </c>
      <c r="S64" s="3">
        <v>521.80188535255672</v>
      </c>
    </row>
    <row r="65" spans="1:19" x14ac:dyDescent="0.25">
      <c r="A65" s="2" t="s">
        <v>164</v>
      </c>
      <c r="B65" s="3">
        <v>81.11</v>
      </c>
      <c r="C65" s="3">
        <v>83.63</v>
      </c>
      <c r="D65" s="3">
        <v>78.290000000000006</v>
      </c>
      <c r="E65" s="3">
        <v>82.08</v>
      </c>
      <c r="F65" s="3">
        <v>61.88</v>
      </c>
      <c r="G65" s="3">
        <v>73.55</v>
      </c>
      <c r="H65" s="3">
        <v>0</v>
      </c>
      <c r="I65" s="3">
        <v>11.6</v>
      </c>
      <c r="J65" s="3">
        <v>9</v>
      </c>
      <c r="K65" s="3">
        <v>23.715760502438101</v>
      </c>
      <c r="L65" s="3">
        <v>9</v>
      </c>
      <c r="M65" s="3">
        <v>48.584907531738303</v>
      </c>
      <c r="N65" s="3">
        <v>0</v>
      </c>
      <c r="O65" s="3">
        <v>0</v>
      </c>
      <c r="P65" s="3">
        <v>85.488133000000005</v>
      </c>
      <c r="Q65" s="3">
        <v>0</v>
      </c>
      <c r="R65" s="3">
        <v>5</v>
      </c>
      <c r="S65" s="3">
        <v>652.92880103417656</v>
      </c>
    </row>
    <row r="66" spans="1:19" x14ac:dyDescent="0.25">
      <c r="A66" s="2" t="s">
        <v>166</v>
      </c>
      <c r="B66" s="3">
        <v>79.2</v>
      </c>
      <c r="C66" s="3">
        <v>75.36</v>
      </c>
      <c r="D66" s="3">
        <v>83.24</v>
      </c>
      <c r="E66" s="3">
        <v>67.45</v>
      </c>
      <c r="F66" s="3">
        <v>61.02</v>
      </c>
      <c r="G66" s="3">
        <v>78.91</v>
      </c>
      <c r="H66" s="3">
        <v>0</v>
      </c>
      <c r="I66" s="3">
        <v>0</v>
      </c>
      <c r="J66" s="3">
        <v>10</v>
      </c>
      <c r="K66" s="3">
        <v>0</v>
      </c>
      <c r="L66" s="3">
        <v>12</v>
      </c>
      <c r="M66" s="3">
        <v>26.190475463867202</v>
      </c>
      <c r="N66" s="3">
        <v>0</v>
      </c>
      <c r="O66" s="3">
        <v>0</v>
      </c>
      <c r="P66" s="3">
        <v>61.55462</v>
      </c>
      <c r="Q66" s="3">
        <v>0</v>
      </c>
      <c r="R66" s="3">
        <v>23</v>
      </c>
      <c r="S66" s="3">
        <v>577.92509546386714</v>
      </c>
    </row>
    <row r="67" spans="1:19" x14ac:dyDescent="0.25">
      <c r="A67" s="2" t="s">
        <v>168</v>
      </c>
      <c r="B67" s="3">
        <v>98.67</v>
      </c>
      <c r="C67" s="3">
        <v>98.68</v>
      </c>
      <c r="D67" s="3">
        <v>98.66</v>
      </c>
      <c r="E67" s="3">
        <v>96.89</v>
      </c>
      <c r="F67" s="3">
        <v>95.56</v>
      </c>
      <c r="G67" s="3">
        <v>98.57</v>
      </c>
      <c r="H67" s="3">
        <v>0</v>
      </c>
      <c r="I67" s="3">
        <v>0</v>
      </c>
      <c r="J67" s="3">
        <v>8</v>
      </c>
      <c r="K67" s="3">
        <v>51.1791323198157</v>
      </c>
      <c r="L67" s="3">
        <v>9</v>
      </c>
      <c r="M67" s="3">
        <v>79.716979980468807</v>
      </c>
      <c r="N67" s="3">
        <v>0</v>
      </c>
      <c r="O67" s="3">
        <v>0</v>
      </c>
      <c r="P67" s="3">
        <v>96.123594999999995</v>
      </c>
      <c r="Q67" s="3">
        <v>0</v>
      </c>
      <c r="R67" s="3">
        <v>8</v>
      </c>
      <c r="S67" s="3">
        <v>839.04970730028458</v>
      </c>
    </row>
    <row r="68" spans="1:19" x14ac:dyDescent="0.25">
      <c r="A68" s="2" t="s">
        <v>170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5</v>
      </c>
      <c r="K68" s="3">
        <v>0</v>
      </c>
      <c r="L68" s="3">
        <v>9</v>
      </c>
      <c r="M68" s="3">
        <v>60.377357482910199</v>
      </c>
      <c r="N68" s="3">
        <v>0</v>
      </c>
      <c r="O68" s="3">
        <v>0</v>
      </c>
      <c r="P68" s="3">
        <v>94.200935999999999</v>
      </c>
      <c r="Q68" s="3">
        <v>0</v>
      </c>
      <c r="R68" s="3">
        <v>19.399999999999999</v>
      </c>
      <c r="S68" s="3">
        <v>187.9782934829102</v>
      </c>
    </row>
    <row r="69" spans="1:19" x14ac:dyDescent="0.25">
      <c r="A69" s="2" t="s">
        <v>172</v>
      </c>
      <c r="B69" s="3">
        <v>45.09</v>
      </c>
      <c r="C69" s="3">
        <v>43.76</v>
      </c>
      <c r="D69" s="3">
        <v>46.54</v>
      </c>
      <c r="E69" s="3">
        <v>44.09</v>
      </c>
      <c r="F69" s="3">
        <v>28.94</v>
      </c>
      <c r="G69" s="3">
        <v>36.24</v>
      </c>
      <c r="H69" s="3">
        <v>0</v>
      </c>
      <c r="I69" s="3">
        <v>31.4</v>
      </c>
      <c r="J69" s="3">
        <v>7</v>
      </c>
      <c r="K69" s="3">
        <v>67.956222293159499</v>
      </c>
      <c r="L69" s="3">
        <v>10</v>
      </c>
      <c r="M69" s="3">
        <v>17.142856597900401</v>
      </c>
      <c r="N69" s="3">
        <v>49.9245645504678</v>
      </c>
      <c r="O69" s="3">
        <v>10.6172086816066</v>
      </c>
      <c r="P69" s="3">
        <v>83.671413999999999</v>
      </c>
      <c r="Q69" s="3">
        <v>0</v>
      </c>
      <c r="R69" s="3">
        <v>10</v>
      </c>
      <c r="S69" s="3">
        <v>532.3722661231343</v>
      </c>
    </row>
    <row r="70" spans="1:19" x14ac:dyDescent="0.25">
      <c r="A70" s="2" t="s">
        <v>174</v>
      </c>
      <c r="B70" s="3">
        <v>37.32</v>
      </c>
      <c r="C70" s="3">
        <v>37.85</v>
      </c>
      <c r="D70" s="3">
        <v>36.75</v>
      </c>
      <c r="E70" s="3">
        <v>22.8</v>
      </c>
      <c r="F70" s="3">
        <v>28.72</v>
      </c>
      <c r="G70" s="3">
        <v>26.38</v>
      </c>
      <c r="H70" s="3">
        <v>0</v>
      </c>
      <c r="I70" s="3">
        <v>0</v>
      </c>
      <c r="J70" s="3">
        <v>6</v>
      </c>
      <c r="K70" s="3">
        <v>0</v>
      </c>
      <c r="L70" s="3">
        <v>9</v>
      </c>
      <c r="M70" s="3">
        <v>19.811321258544901</v>
      </c>
      <c r="N70" s="3">
        <v>0</v>
      </c>
      <c r="O70" s="3">
        <v>0</v>
      </c>
      <c r="P70" s="3">
        <v>76.463452000000004</v>
      </c>
      <c r="Q70" s="3">
        <v>0</v>
      </c>
      <c r="R70" s="3">
        <v>173</v>
      </c>
      <c r="S70" s="3">
        <v>474.09477325854488</v>
      </c>
    </row>
    <row r="71" spans="1:19" x14ac:dyDescent="0.25">
      <c r="A71" s="2" t="s">
        <v>176</v>
      </c>
      <c r="B71" s="3">
        <v>96.62</v>
      </c>
      <c r="C71" s="3">
        <v>97.55</v>
      </c>
      <c r="D71" s="3">
        <v>95.51</v>
      </c>
      <c r="E71" s="3">
        <v>94.06</v>
      </c>
      <c r="F71" s="3">
        <v>90.98</v>
      </c>
      <c r="G71" s="3">
        <v>94.33</v>
      </c>
      <c r="H71" s="3">
        <v>0</v>
      </c>
      <c r="I71" s="3">
        <v>2</v>
      </c>
      <c r="J71" s="3">
        <v>5</v>
      </c>
      <c r="K71" s="3">
        <v>0</v>
      </c>
      <c r="L71" s="3">
        <v>11</v>
      </c>
      <c r="M71" s="3">
        <v>76.190475463867202</v>
      </c>
      <c r="N71" s="3">
        <v>0</v>
      </c>
      <c r="O71" s="3">
        <v>0</v>
      </c>
      <c r="P71" s="3">
        <v>87.363545000000002</v>
      </c>
      <c r="Q71" s="3">
        <v>0</v>
      </c>
      <c r="R71" s="3">
        <v>5.5</v>
      </c>
      <c r="S71" s="3">
        <v>756.1040204638673</v>
      </c>
    </row>
    <row r="72" spans="1:19" x14ac:dyDescent="0.25">
      <c r="A72" s="2" t="s">
        <v>178</v>
      </c>
      <c r="B72" s="3">
        <v>20.7</v>
      </c>
      <c r="C72" s="3">
        <v>16.59</v>
      </c>
      <c r="D72" s="3">
        <v>24.65</v>
      </c>
      <c r="E72" s="3">
        <v>12.85</v>
      </c>
      <c r="F72" s="3">
        <v>15.51</v>
      </c>
      <c r="G72" s="3">
        <v>7.87</v>
      </c>
      <c r="H72" s="3">
        <v>0</v>
      </c>
      <c r="I72" s="3">
        <v>21.8</v>
      </c>
      <c r="J72" s="3">
        <v>9</v>
      </c>
      <c r="K72" s="3">
        <v>0</v>
      </c>
      <c r="L72" s="3">
        <v>10</v>
      </c>
      <c r="M72" s="3">
        <v>14.1509437561035</v>
      </c>
      <c r="N72" s="3">
        <v>0</v>
      </c>
      <c r="O72" s="3">
        <v>0</v>
      </c>
      <c r="P72" s="3">
        <v>89.796081999999998</v>
      </c>
      <c r="Q72" s="3">
        <v>0</v>
      </c>
      <c r="R72" s="3">
        <v>15</v>
      </c>
      <c r="S72" s="3">
        <v>257.9170257561035</v>
      </c>
    </row>
    <row r="73" spans="1:19" x14ac:dyDescent="0.25">
      <c r="A73" s="2" t="s">
        <v>180</v>
      </c>
      <c r="B73" s="3">
        <v>63.63</v>
      </c>
      <c r="C73" s="3">
        <v>62.37</v>
      </c>
      <c r="D73" s="3">
        <v>65.05</v>
      </c>
      <c r="E73" s="3">
        <v>58.64</v>
      </c>
      <c r="F73" s="3">
        <v>55.49</v>
      </c>
      <c r="G73" s="3">
        <v>61.8</v>
      </c>
      <c r="H73" s="3">
        <v>0</v>
      </c>
      <c r="I73" s="3">
        <v>7.3</v>
      </c>
      <c r="J73" s="3">
        <v>3</v>
      </c>
      <c r="K73" s="3">
        <v>32.1670318908686</v>
      </c>
      <c r="L73" s="3">
        <v>7</v>
      </c>
      <c r="M73" s="3">
        <v>51.4285697937012</v>
      </c>
      <c r="N73" s="3">
        <v>0</v>
      </c>
      <c r="O73" s="3">
        <v>0</v>
      </c>
      <c r="P73" s="3">
        <v>49.357239</v>
      </c>
      <c r="Q73" s="3">
        <v>0</v>
      </c>
      <c r="R73" s="3">
        <v>15</v>
      </c>
      <c r="S73" s="3">
        <v>532.23284068456985</v>
      </c>
    </row>
    <row r="74" spans="1:19" x14ac:dyDescent="0.25">
      <c r="A74" s="2" t="s">
        <v>182</v>
      </c>
      <c r="B74" s="3">
        <v>51.63</v>
      </c>
      <c r="C74" s="3">
        <v>44.2</v>
      </c>
      <c r="D74" s="3">
        <v>59.34</v>
      </c>
      <c r="E74" s="3">
        <v>42.1</v>
      </c>
      <c r="F74" s="3">
        <v>42.85</v>
      </c>
      <c r="G74" s="3">
        <v>54</v>
      </c>
      <c r="H74" s="3">
        <v>0</v>
      </c>
      <c r="I74" s="3">
        <v>0</v>
      </c>
      <c r="J74" s="3">
        <v>4</v>
      </c>
      <c r="K74" s="3">
        <v>0</v>
      </c>
      <c r="L74" s="3">
        <v>6</v>
      </c>
      <c r="M74" s="3">
        <v>20.754716873168899</v>
      </c>
      <c r="N74" s="3">
        <v>0</v>
      </c>
      <c r="O74" s="3">
        <v>0</v>
      </c>
      <c r="P74" s="3">
        <v>61.502448000000001</v>
      </c>
      <c r="Q74" s="3">
        <v>0</v>
      </c>
      <c r="R74" s="3">
        <v>18</v>
      </c>
      <c r="S74" s="3">
        <v>404.37716487316891</v>
      </c>
    </row>
    <row r="75" spans="1:19" x14ac:dyDescent="0.25">
      <c r="A75" s="2" t="s">
        <v>184</v>
      </c>
      <c r="B75" s="3">
        <v>93.53</v>
      </c>
      <c r="C75" s="3">
        <v>90.38</v>
      </c>
      <c r="D75" s="3">
        <v>96.99</v>
      </c>
      <c r="E75" s="3">
        <v>91.33</v>
      </c>
      <c r="F75" s="3">
        <v>74.08</v>
      </c>
      <c r="G75" s="3">
        <v>92.02</v>
      </c>
      <c r="H75" s="3">
        <v>0</v>
      </c>
      <c r="I75" s="3">
        <v>0.2</v>
      </c>
      <c r="J75" s="3">
        <v>7</v>
      </c>
      <c r="K75" s="3">
        <v>52.452434373952201</v>
      </c>
      <c r="L75" s="3">
        <v>11</v>
      </c>
      <c r="M75" s="3">
        <v>79.523811340332003</v>
      </c>
      <c r="N75" s="3">
        <v>0</v>
      </c>
      <c r="O75" s="3">
        <v>0</v>
      </c>
      <c r="P75" s="3">
        <v>88.670056000000002</v>
      </c>
      <c r="Q75" s="3">
        <v>0</v>
      </c>
      <c r="R75" s="3">
        <v>5.5</v>
      </c>
      <c r="S75" s="3">
        <v>782.67630171428425</v>
      </c>
    </row>
    <row r="76" spans="1:19" x14ac:dyDescent="0.25">
      <c r="A76" s="2" t="s">
        <v>186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6</v>
      </c>
      <c r="K76" s="3">
        <v>0</v>
      </c>
      <c r="L76" s="3">
        <v>12</v>
      </c>
      <c r="M76" s="3">
        <v>97.619049072265597</v>
      </c>
      <c r="N76" s="3">
        <v>0</v>
      </c>
      <c r="O76" s="3">
        <v>0</v>
      </c>
      <c r="P76" s="3">
        <v>92.554040999999998</v>
      </c>
      <c r="Q76" s="3">
        <v>0</v>
      </c>
      <c r="R76" s="3">
        <v>16.5</v>
      </c>
      <c r="S76" s="3">
        <v>224.67309007226561</v>
      </c>
    </row>
    <row r="77" spans="1:19" x14ac:dyDescent="0.25">
      <c r="A77" s="2" t="s">
        <v>188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10</v>
      </c>
      <c r="M77" s="3">
        <v>79.716979980468807</v>
      </c>
      <c r="N77" s="3">
        <v>0</v>
      </c>
      <c r="O77" s="3">
        <v>0</v>
      </c>
      <c r="P77" s="3">
        <v>95.794194000000005</v>
      </c>
      <c r="Q77" s="3">
        <v>0</v>
      </c>
      <c r="R77" s="3">
        <v>0</v>
      </c>
      <c r="S77" s="3">
        <v>185.51117398046881</v>
      </c>
    </row>
    <row r="78" spans="1:19" x14ac:dyDescent="0.25">
      <c r="A78" s="2" t="s">
        <v>190</v>
      </c>
      <c r="B78" s="3">
        <v>42.71</v>
      </c>
      <c r="C78" s="3">
        <v>38.14</v>
      </c>
      <c r="D78" s="3">
        <v>47.75</v>
      </c>
      <c r="E78" s="3">
        <v>33.090000000000003</v>
      </c>
      <c r="F78" s="3">
        <v>33.32</v>
      </c>
      <c r="G78" s="3">
        <v>34.79</v>
      </c>
      <c r="H78" s="3">
        <v>0</v>
      </c>
      <c r="I78" s="3">
        <v>0</v>
      </c>
      <c r="J78" s="3">
        <v>4</v>
      </c>
      <c r="K78" s="3">
        <v>55.599211999191198</v>
      </c>
      <c r="L78" s="3">
        <v>8</v>
      </c>
      <c r="M78" s="3">
        <v>44.285713195800803</v>
      </c>
      <c r="N78" s="3">
        <v>0.35976837788152799</v>
      </c>
      <c r="O78" s="3">
        <v>37.681762155494198</v>
      </c>
      <c r="P78" s="3">
        <v>70.764169999999993</v>
      </c>
      <c r="Q78" s="3">
        <v>0</v>
      </c>
      <c r="R78" s="3">
        <v>37</v>
      </c>
      <c r="S78" s="3">
        <v>487.49062572836766</v>
      </c>
    </row>
    <row r="79" spans="1:19" x14ac:dyDescent="0.25">
      <c r="A79" s="2" t="s">
        <v>192</v>
      </c>
      <c r="B79" s="3">
        <v>88.37</v>
      </c>
      <c r="C79" s="3">
        <v>87.51</v>
      </c>
      <c r="D79" s="3">
        <v>89.23</v>
      </c>
      <c r="E79" s="3">
        <v>82.98</v>
      </c>
      <c r="F79" s="3">
        <v>71.67</v>
      </c>
      <c r="G79" s="3">
        <v>74.27</v>
      </c>
      <c r="H79" s="3">
        <v>0</v>
      </c>
      <c r="I79" s="3">
        <v>0.4</v>
      </c>
      <c r="J79" s="3">
        <v>10</v>
      </c>
      <c r="K79" s="3">
        <v>63.266836673295103</v>
      </c>
      <c r="L79" s="3">
        <v>6</v>
      </c>
      <c r="M79" s="3">
        <v>62.264152526855497</v>
      </c>
      <c r="N79" s="3">
        <v>0</v>
      </c>
      <c r="O79" s="3">
        <v>0</v>
      </c>
      <c r="P79" s="3">
        <v>86.017691999999997</v>
      </c>
      <c r="Q79" s="3">
        <v>0</v>
      </c>
      <c r="R79" s="3">
        <v>17.5</v>
      </c>
      <c r="S79" s="3">
        <v>739.47868120015062</v>
      </c>
    </row>
    <row r="80" spans="1:19" x14ac:dyDescent="0.25">
      <c r="A80" s="2" t="s">
        <v>194</v>
      </c>
      <c r="B80" s="3">
        <v>96.45</v>
      </c>
      <c r="C80" s="3">
        <v>95.33</v>
      </c>
      <c r="D80" s="3">
        <v>97.57</v>
      </c>
      <c r="E80" s="3">
        <v>93.35</v>
      </c>
      <c r="F80" s="3">
        <v>93.37</v>
      </c>
      <c r="G80" s="3">
        <v>94.44</v>
      </c>
      <c r="H80" s="3">
        <v>0</v>
      </c>
      <c r="I80" s="3">
        <v>2.4</v>
      </c>
      <c r="J80" s="3">
        <v>3</v>
      </c>
      <c r="K80" s="3">
        <v>0</v>
      </c>
      <c r="L80" s="3">
        <v>11</v>
      </c>
      <c r="M80" s="3">
        <v>62.857143402099602</v>
      </c>
      <c r="N80" s="3">
        <v>0</v>
      </c>
      <c r="O80" s="3">
        <v>0</v>
      </c>
      <c r="P80" s="3">
        <v>92.807496</v>
      </c>
      <c r="Q80" s="3">
        <v>0</v>
      </c>
      <c r="R80" s="3">
        <v>20.5</v>
      </c>
      <c r="S80" s="3">
        <v>763.07463940209959</v>
      </c>
    </row>
    <row r="81" spans="1:19" x14ac:dyDescent="0.25">
      <c r="A81" s="2" t="s">
        <v>196</v>
      </c>
      <c r="B81" s="3">
        <v>90.53</v>
      </c>
      <c r="C81" s="3">
        <v>89.4</v>
      </c>
      <c r="D81" s="3">
        <v>91.74</v>
      </c>
      <c r="E81" s="3">
        <v>90.55</v>
      </c>
      <c r="F81" s="3">
        <v>85.18</v>
      </c>
      <c r="G81" s="3">
        <v>83.62</v>
      </c>
      <c r="H81" s="3">
        <v>0</v>
      </c>
      <c r="I81" s="3">
        <v>5.7</v>
      </c>
      <c r="J81" s="3">
        <v>7</v>
      </c>
      <c r="K81" s="3">
        <v>57.961660431002798</v>
      </c>
      <c r="L81" s="3">
        <v>12</v>
      </c>
      <c r="M81" s="3">
        <v>65.5660400390625</v>
      </c>
      <c r="N81" s="3">
        <v>0</v>
      </c>
      <c r="O81" s="3">
        <v>0</v>
      </c>
      <c r="P81" s="3">
        <v>85.121872999999994</v>
      </c>
      <c r="Q81" s="3">
        <v>0</v>
      </c>
      <c r="R81" s="3">
        <v>4.5</v>
      </c>
      <c r="S81" s="3">
        <v>768.86957347006523</v>
      </c>
    </row>
    <row r="82" spans="1:19" x14ac:dyDescent="0.25">
      <c r="A82" s="2" t="s">
        <v>198</v>
      </c>
      <c r="B82" s="3">
        <v>48.97</v>
      </c>
      <c r="C82" s="3">
        <v>42.3</v>
      </c>
      <c r="D82" s="3">
        <v>56.27</v>
      </c>
      <c r="E82" s="3">
        <v>32.07</v>
      </c>
      <c r="F82" s="3">
        <v>31.79</v>
      </c>
      <c r="G82" s="3">
        <v>50.04</v>
      </c>
      <c r="H82" s="3">
        <v>0</v>
      </c>
      <c r="I82" s="3">
        <v>15.8</v>
      </c>
      <c r="J82" s="3">
        <v>8</v>
      </c>
      <c r="K82" s="3">
        <v>45.837346416921299</v>
      </c>
      <c r="L82" s="3">
        <v>14</v>
      </c>
      <c r="M82" s="3">
        <v>19.523809432983398</v>
      </c>
      <c r="N82" s="3">
        <v>5.2723608193918103</v>
      </c>
      <c r="O82" s="3">
        <v>37.545087375243703</v>
      </c>
      <c r="P82" s="3">
        <v>83.960792999999995</v>
      </c>
      <c r="Q82" s="3">
        <v>0</v>
      </c>
      <c r="R82" s="3">
        <v>8.4</v>
      </c>
      <c r="S82" s="3">
        <v>499.77939704454025</v>
      </c>
    </row>
    <row r="83" spans="1:19" x14ac:dyDescent="0.25">
      <c r="A83" s="2" t="s">
        <v>200</v>
      </c>
      <c r="B83" s="3">
        <v>64.25</v>
      </c>
      <c r="C83" s="3">
        <v>62.92</v>
      </c>
      <c r="D83" s="3">
        <v>65.7</v>
      </c>
      <c r="E83" s="3">
        <v>54.43</v>
      </c>
      <c r="F83" s="3">
        <v>39.950000000000003</v>
      </c>
      <c r="G83" s="3">
        <v>63.88</v>
      </c>
      <c r="H83" s="3">
        <v>0</v>
      </c>
      <c r="I83" s="3">
        <v>11.9</v>
      </c>
      <c r="J83" s="3">
        <v>7</v>
      </c>
      <c r="K83" s="3">
        <v>34.521317865394899</v>
      </c>
      <c r="L83" s="3">
        <v>13</v>
      </c>
      <c r="M83" s="3">
        <v>46.698112487792997</v>
      </c>
      <c r="N83" s="3">
        <v>0</v>
      </c>
      <c r="O83" s="3">
        <v>0</v>
      </c>
      <c r="P83" s="3">
        <v>83.539975999999996</v>
      </c>
      <c r="Q83" s="3">
        <v>0</v>
      </c>
      <c r="R83" s="3">
        <v>4</v>
      </c>
      <c r="S83" s="3">
        <v>551.78940635318793</v>
      </c>
    </row>
    <row r="84" spans="1:19" x14ac:dyDescent="0.25">
      <c r="A84" s="2" t="s">
        <v>202</v>
      </c>
      <c r="B84" s="3">
        <v>98.46</v>
      </c>
      <c r="C84" s="3">
        <v>98.97</v>
      </c>
      <c r="D84" s="3">
        <v>97.89</v>
      </c>
      <c r="E84" s="3">
        <v>98.29</v>
      </c>
      <c r="F84" s="3">
        <v>96.53</v>
      </c>
      <c r="G84" s="3">
        <v>95.45</v>
      </c>
      <c r="H84" s="3">
        <v>0</v>
      </c>
      <c r="I84" s="3">
        <v>24.7</v>
      </c>
      <c r="J84" s="3">
        <v>6</v>
      </c>
      <c r="K84" s="3">
        <v>73.936783515285796</v>
      </c>
      <c r="L84" s="3">
        <v>12</v>
      </c>
      <c r="M84" s="3">
        <v>37.142856597900398</v>
      </c>
      <c r="N84" s="3">
        <v>0</v>
      </c>
      <c r="O84" s="3">
        <v>0</v>
      </c>
      <c r="P84" s="3">
        <v>83.016925000000001</v>
      </c>
      <c r="Q84" s="3">
        <v>0</v>
      </c>
      <c r="R84" s="3">
        <v>12</v>
      </c>
      <c r="S84" s="3">
        <v>834.38656511318629</v>
      </c>
    </row>
    <row r="85" spans="1:19" x14ac:dyDescent="0.25">
      <c r="A85" s="2" t="s">
        <v>204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21.4</v>
      </c>
      <c r="J85" s="3">
        <v>5</v>
      </c>
      <c r="K85" s="3">
        <v>0</v>
      </c>
      <c r="L85" s="3">
        <v>9</v>
      </c>
      <c r="M85" s="3">
        <v>54.761905670166001</v>
      </c>
      <c r="N85" s="3">
        <v>0</v>
      </c>
      <c r="O85" s="3">
        <v>0</v>
      </c>
      <c r="P85" s="3">
        <v>88.705653999999996</v>
      </c>
      <c r="Q85" s="3">
        <v>0</v>
      </c>
      <c r="R85" s="3">
        <v>12</v>
      </c>
      <c r="S85" s="3">
        <v>190.86755967016597</v>
      </c>
    </row>
    <row r="86" spans="1:19" x14ac:dyDescent="0.25">
      <c r="A86" s="2" t="s">
        <v>206</v>
      </c>
      <c r="B86" s="3">
        <v>44.37</v>
      </c>
      <c r="C86" s="3">
        <v>32.700000000000003</v>
      </c>
      <c r="D86" s="3">
        <v>55.97</v>
      </c>
      <c r="E86" s="3">
        <v>33.93</v>
      </c>
      <c r="F86" s="3">
        <v>36.909999999999997</v>
      </c>
      <c r="G86" s="3">
        <v>35.9</v>
      </c>
      <c r="H86" s="3">
        <v>0</v>
      </c>
      <c r="I86" s="3">
        <v>29.6</v>
      </c>
      <c r="J86" s="3">
        <v>9</v>
      </c>
      <c r="K86" s="3">
        <v>0</v>
      </c>
      <c r="L86" s="3">
        <v>9</v>
      </c>
      <c r="M86" s="3">
        <v>41.4285697937012</v>
      </c>
      <c r="N86" s="3">
        <v>0</v>
      </c>
      <c r="O86" s="3">
        <v>0</v>
      </c>
      <c r="P86" s="3">
        <v>86.611350999999999</v>
      </c>
      <c r="Q86" s="3">
        <v>0</v>
      </c>
      <c r="R86" s="3">
        <v>9</v>
      </c>
      <c r="S86" s="3">
        <v>424.41992079370118</v>
      </c>
    </row>
    <row r="87" spans="1:19" x14ac:dyDescent="0.25">
      <c r="A87" s="2" t="s">
        <v>208</v>
      </c>
      <c r="B87" s="3">
        <v>49.49</v>
      </c>
      <c r="C87" s="3">
        <v>38.69</v>
      </c>
      <c r="D87" s="3">
        <v>61</v>
      </c>
      <c r="E87" s="3">
        <v>34.479999999999997</v>
      </c>
      <c r="F87" s="3">
        <v>39.11</v>
      </c>
      <c r="G87" s="3">
        <v>49.43</v>
      </c>
      <c r="H87" s="3">
        <v>0</v>
      </c>
      <c r="I87" s="3">
        <v>0</v>
      </c>
      <c r="J87" s="3">
        <v>5</v>
      </c>
      <c r="K87" s="3">
        <v>101.39093176388801</v>
      </c>
      <c r="L87" s="3">
        <v>0</v>
      </c>
      <c r="M87" s="3">
        <v>24.761905670166001</v>
      </c>
      <c r="N87" s="3">
        <v>0</v>
      </c>
      <c r="O87" s="3">
        <v>0</v>
      </c>
      <c r="P87" s="3">
        <v>68.419985999999994</v>
      </c>
      <c r="Q87" s="3">
        <v>0</v>
      </c>
      <c r="R87" s="3">
        <v>17</v>
      </c>
      <c r="S87" s="3">
        <v>488.77282343405398</v>
      </c>
    </row>
    <row r="88" spans="1:19" x14ac:dyDescent="0.25">
      <c r="A88" s="2" t="s">
        <v>210</v>
      </c>
      <c r="B88" s="3">
        <v>47.79</v>
      </c>
      <c r="C88" s="3">
        <v>46.15</v>
      </c>
      <c r="D88" s="3">
        <v>49.52</v>
      </c>
      <c r="E88" s="3">
        <v>32.99</v>
      </c>
      <c r="F88" s="3">
        <v>26.25</v>
      </c>
      <c r="G88" s="3">
        <v>55.68</v>
      </c>
      <c r="H88" s="3">
        <v>0</v>
      </c>
      <c r="I88" s="3">
        <v>0</v>
      </c>
      <c r="J88" s="3">
        <v>4</v>
      </c>
      <c r="K88" s="3">
        <v>0</v>
      </c>
      <c r="L88" s="3">
        <v>5</v>
      </c>
      <c r="M88" s="3">
        <v>30</v>
      </c>
      <c r="N88" s="3">
        <v>0</v>
      </c>
      <c r="O88" s="3">
        <v>0</v>
      </c>
      <c r="P88" s="3">
        <v>74.308790000000002</v>
      </c>
      <c r="Q88" s="3">
        <v>0</v>
      </c>
      <c r="R88" s="3">
        <v>7</v>
      </c>
      <c r="S88" s="3">
        <v>378.68878999999998</v>
      </c>
    </row>
    <row r="89" spans="1:19" x14ac:dyDescent="0.25">
      <c r="A89" s="2" t="s">
        <v>212</v>
      </c>
      <c r="B89" s="3">
        <v>71.349999999999994</v>
      </c>
      <c r="C89" s="3">
        <v>69.31</v>
      </c>
      <c r="D89" s="3">
        <v>73.67</v>
      </c>
      <c r="E89" s="3">
        <v>56.38</v>
      </c>
      <c r="F89" s="3">
        <v>61.29</v>
      </c>
      <c r="G89" s="3">
        <v>55.61</v>
      </c>
      <c r="H89" s="3">
        <v>0</v>
      </c>
      <c r="I89" s="3">
        <v>0</v>
      </c>
      <c r="J89" s="3">
        <v>5</v>
      </c>
      <c r="K89" s="3">
        <v>0</v>
      </c>
      <c r="L89" s="3">
        <v>7</v>
      </c>
      <c r="M89" s="3">
        <v>62.857143402099602</v>
      </c>
      <c r="N89" s="3">
        <v>0</v>
      </c>
      <c r="O89" s="3">
        <v>0</v>
      </c>
      <c r="P89" s="3">
        <v>65.976025000000007</v>
      </c>
      <c r="Q89" s="3">
        <v>0</v>
      </c>
      <c r="R89" s="3">
        <v>54</v>
      </c>
      <c r="S89" s="3">
        <v>582.44316840209967</v>
      </c>
    </row>
    <row r="90" spans="1:19" x14ac:dyDescent="0.25">
      <c r="A90" s="2" t="s">
        <v>214</v>
      </c>
      <c r="B90" s="3">
        <v>54</v>
      </c>
      <c r="C90" s="3">
        <v>49.9</v>
      </c>
      <c r="D90" s="3">
        <v>58.61</v>
      </c>
      <c r="E90" s="3">
        <v>44.55</v>
      </c>
      <c r="F90" s="3">
        <v>51</v>
      </c>
      <c r="G90" s="3">
        <v>42.23</v>
      </c>
      <c r="H90" s="3">
        <v>0</v>
      </c>
      <c r="I90" s="3">
        <v>6.2</v>
      </c>
      <c r="J90" s="3">
        <v>6</v>
      </c>
      <c r="K90" s="3">
        <v>39.9222686422289</v>
      </c>
      <c r="L90" s="3">
        <v>9</v>
      </c>
      <c r="M90" s="3">
        <v>33.962265014648402</v>
      </c>
      <c r="N90" s="3">
        <v>0</v>
      </c>
      <c r="O90" s="3">
        <v>0</v>
      </c>
      <c r="P90" s="3">
        <v>76.872815000000003</v>
      </c>
      <c r="Q90" s="3">
        <v>0</v>
      </c>
      <c r="R90" s="3">
        <v>22.5</v>
      </c>
      <c r="S90" s="3">
        <v>494.74734865687731</v>
      </c>
    </row>
    <row r="91" spans="1:19" x14ac:dyDescent="0.25">
      <c r="A91" s="2" t="s">
        <v>216</v>
      </c>
      <c r="B91" s="3">
        <v>99.73</v>
      </c>
      <c r="C91" s="3">
        <v>99.47</v>
      </c>
      <c r="D91" s="3">
        <v>100</v>
      </c>
      <c r="E91" s="3">
        <v>99.33</v>
      </c>
      <c r="F91" s="3">
        <v>100</v>
      </c>
      <c r="G91" s="3">
        <v>98.18</v>
      </c>
      <c r="H91" s="3">
        <v>0</v>
      </c>
      <c r="I91" s="3">
        <v>0.3</v>
      </c>
      <c r="J91" s="3">
        <v>4</v>
      </c>
      <c r="K91" s="3">
        <v>0</v>
      </c>
      <c r="L91" s="3">
        <v>13</v>
      </c>
      <c r="M91" s="3">
        <v>97.142860412597699</v>
      </c>
      <c r="N91" s="3">
        <v>0</v>
      </c>
      <c r="O91" s="3">
        <v>0</v>
      </c>
      <c r="P91" s="3">
        <v>92.390504000000007</v>
      </c>
      <c r="Q91" s="3">
        <v>0</v>
      </c>
      <c r="R91" s="3">
        <v>3.5</v>
      </c>
      <c r="S91" s="3">
        <v>807.04336441259761</v>
      </c>
    </row>
    <row r="92" spans="1:19" x14ac:dyDescent="0.25">
      <c r="A92" s="2" t="s">
        <v>218</v>
      </c>
      <c r="B92" s="3">
        <v>98.75</v>
      </c>
      <c r="C92" s="3">
        <v>99.24</v>
      </c>
      <c r="D92" s="3">
        <v>98.23</v>
      </c>
      <c r="E92" s="3">
        <v>96.87</v>
      </c>
      <c r="F92" s="3">
        <v>96.53</v>
      </c>
      <c r="G92" s="3">
        <v>94.46</v>
      </c>
      <c r="H92" s="3">
        <v>0</v>
      </c>
      <c r="I92" s="3">
        <v>4</v>
      </c>
      <c r="J92" s="3">
        <v>10</v>
      </c>
      <c r="K92" s="3">
        <v>54.566672234442798</v>
      </c>
      <c r="L92" s="3">
        <v>10</v>
      </c>
      <c r="M92" s="3">
        <v>100</v>
      </c>
      <c r="N92" s="3">
        <v>0</v>
      </c>
      <c r="O92" s="3">
        <v>0</v>
      </c>
      <c r="P92" s="3">
        <v>92.227997999999999</v>
      </c>
      <c r="Q92" s="3">
        <v>0</v>
      </c>
      <c r="R92" s="3">
        <v>0.5</v>
      </c>
      <c r="S92" s="3">
        <v>855.37467023444276</v>
      </c>
    </row>
    <row r="93" spans="1:19" x14ac:dyDescent="0.25">
      <c r="A93" s="2" t="s">
        <v>220</v>
      </c>
      <c r="B93" s="3">
        <v>26.03</v>
      </c>
      <c r="C93" s="3">
        <v>21.57</v>
      </c>
      <c r="D93" s="3">
        <v>30.94</v>
      </c>
      <c r="E93" s="3">
        <v>21.36</v>
      </c>
      <c r="F93" s="3">
        <v>18.14</v>
      </c>
      <c r="G93" s="3">
        <v>29.56</v>
      </c>
      <c r="H93" s="3">
        <v>0</v>
      </c>
      <c r="I93" s="3">
        <v>0</v>
      </c>
      <c r="J93" s="3">
        <v>1</v>
      </c>
      <c r="K93" s="3">
        <v>0</v>
      </c>
      <c r="L93" s="3">
        <v>7</v>
      </c>
      <c r="M93" s="3">
        <v>15.714285850524901</v>
      </c>
      <c r="N93" s="3">
        <v>0</v>
      </c>
      <c r="O93" s="3">
        <v>0</v>
      </c>
      <c r="P93" s="3">
        <v>83.875855999999999</v>
      </c>
      <c r="Q93" s="3">
        <v>0</v>
      </c>
      <c r="R93" s="3">
        <v>14</v>
      </c>
      <c r="S93" s="3">
        <v>269.19014185052492</v>
      </c>
    </row>
    <row r="94" spans="1:19" x14ac:dyDescent="0.25">
      <c r="A94" s="2" t="s">
        <v>222</v>
      </c>
      <c r="B94" s="3">
        <v>45.32</v>
      </c>
      <c r="C94" s="3">
        <v>34.96</v>
      </c>
      <c r="D94" s="3">
        <v>55.45</v>
      </c>
      <c r="E94" s="3">
        <v>32.69</v>
      </c>
      <c r="F94" s="3">
        <v>25.8</v>
      </c>
      <c r="G94" s="3">
        <v>34.880000000000003</v>
      </c>
      <c r="H94" s="3">
        <v>0</v>
      </c>
      <c r="I94" s="3">
        <v>0</v>
      </c>
      <c r="J94" s="3">
        <v>7</v>
      </c>
      <c r="K94" s="3">
        <v>0</v>
      </c>
      <c r="L94" s="3">
        <v>9</v>
      </c>
      <c r="M94" s="3">
        <v>16.981132507324201</v>
      </c>
      <c r="N94" s="3">
        <v>0</v>
      </c>
      <c r="O94" s="3">
        <v>0</v>
      </c>
      <c r="P94" s="3">
        <v>48.329746999999998</v>
      </c>
      <c r="Q94" s="3">
        <v>0</v>
      </c>
      <c r="R94" s="3">
        <v>7.2</v>
      </c>
      <c r="S94" s="3">
        <v>317.61087950732423</v>
      </c>
    </row>
    <row r="95" spans="1:19" x14ac:dyDescent="0.25">
      <c r="A95" s="2" t="s">
        <v>224</v>
      </c>
      <c r="B95" s="3">
        <v>85.29</v>
      </c>
      <c r="C95" s="3">
        <v>79.91</v>
      </c>
      <c r="D95" s="3">
        <v>90.62</v>
      </c>
      <c r="E95" s="3">
        <v>77.69</v>
      </c>
      <c r="F95" s="3">
        <v>73.02</v>
      </c>
      <c r="G95" s="3">
        <v>74.010000000000005</v>
      </c>
      <c r="H95" s="3">
        <v>0</v>
      </c>
      <c r="I95" s="3">
        <v>9.6</v>
      </c>
      <c r="J95" s="3">
        <v>10</v>
      </c>
      <c r="K95" s="3">
        <v>0</v>
      </c>
      <c r="L95" s="3">
        <v>13</v>
      </c>
      <c r="M95" s="3">
        <v>44.339622497558601</v>
      </c>
      <c r="N95" s="3">
        <v>0</v>
      </c>
      <c r="O95" s="3">
        <v>0</v>
      </c>
      <c r="P95" s="3">
        <v>89.610557</v>
      </c>
      <c r="Q95" s="3">
        <v>0</v>
      </c>
      <c r="R95" s="3">
        <v>15</v>
      </c>
      <c r="S95" s="3">
        <v>662.09017949755855</v>
      </c>
    </row>
    <row r="96" spans="1:19" x14ac:dyDescent="0.25">
      <c r="A96" s="2" t="s">
        <v>226</v>
      </c>
      <c r="B96" s="3">
        <v>99.48</v>
      </c>
      <c r="C96" s="3">
        <v>100</v>
      </c>
      <c r="D96" s="3">
        <v>98.98</v>
      </c>
      <c r="E96" s="3">
        <v>98.68</v>
      </c>
      <c r="F96" s="3">
        <v>97.65</v>
      </c>
      <c r="G96" s="3">
        <v>96.37</v>
      </c>
      <c r="H96" s="3">
        <v>0</v>
      </c>
      <c r="I96" s="3">
        <v>0</v>
      </c>
      <c r="J96" s="3">
        <v>7</v>
      </c>
      <c r="K96" s="3">
        <v>0</v>
      </c>
      <c r="L96" s="3">
        <v>10</v>
      </c>
      <c r="M96" s="3">
        <v>99.056602478027301</v>
      </c>
      <c r="N96" s="3">
        <v>0</v>
      </c>
      <c r="O96" s="3">
        <v>0</v>
      </c>
      <c r="P96" s="3">
        <v>93.937117000000001</v>
      </c>
      <c r="Q96" s="3">
        <v>0</v>
      </c>
      <c r="R96" s="3">
        <v>4</v>
      </c>
      <c r="S96" s="3">
        <v>805.15371947802737</v>
      </c>
    </row>
    <row r="97" spans="1:19" x14ac:dyDescent="0.25">
      <c r="A97" s="2" t="s">
        <v>228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8</v>
      </c>
      <c r="K97" s="3">
        <v>0</v>
      </c>
      <c r="L97" s="3">
        <v>10</v>
      </c>
      <c r="M97" s="3">
        <v>65.714286804199205</v>
      </c>
      <c r="N97" s="3">
        <v>0</v>
      </c>
      <c r="O97" s="3">
        <v>0</v>
      </c>
      <c r="P97" s="3">
        <v>91.925533999999999</v>
      </c>
      <c r="Q97" s="3">
        <v>0</v>
      </c>
      <c r="R97" s="3">
        <v>4.3</v>
      </c>
      <c r="S97" s="3">
        <v>179.9398208041992</v>
      </c>
    </row>
    <row r="98" spans="1:19" x14ac:dyDescent="0.25">
      <c r="A98" s="2" t="s">
        <v>230</v>
      </c>
      <c r="B98" s="3">
        <v>20.98</v>
      </c>
      <c r="C98" s="3">
        <v>13.48</v>
      </c>
      <c r="D98" s="3">
        <v>28.18</v>
      </c>
      <c r="E98" s="3">
        <v>17.61</v>
      </c>
      <c r="F98" s="3">
        <v>15.31</v>
      </c>
      <c r="G98" s="3">
        <v>18.100000000000001</v>
      </c>
      <c r="H98" s="3">
        <v>0</v>
      </c>
      <c r="I98" s="3">
        <v>15.9</v>
      </c>
      <c r="J98" s="3">
        <v>6</v>
      </c>
      <c r="K98" s="3">
        <v>0</v>
      </c>
      <c r="L98" s="3">
        <v>12</v>
      </c>
      <c r="M98" s="3">
        <v>23.3333339691162</v>
      </c>
      <c r="N98" s="3">
        <v>0</v>
      </c>
      <c r="O98" s="3">
        <v>0</v>
      </c>
      <c r="P98" s="3">
        <v>75.735977000000005</v>
      </c>
      <c r="Q98" s="3">
        <v>0</v>
      </c>
      <c r="R98" s="3">
        <v>16.5</v>
      </c>
      <c r="S98" s="3">
        <v>263.1293109691162</v>
      </c>
    </row>
    <row r="99" spans="1:19" x14ac:dyDescent="0.25">
      <c r="A99" s="2" t="s">
        <v>232</v>
      </c>
      <c r="B99" s="3">
        <v>44.97</v>
      </c>
      <c r="C99" s="3">
        <v>43.11</v>
      </c>
      <c r="D99" s="3">
        <v>46.95</v>
      </c>
      <c r="E99" s="3">
        <v>32.409999999999997</v>
      </c>
      <c r="F99" s="3">
        <v>31.22</v>
      </c>
      <c r="G99" s="3">
        <v>40.42</v>
      </c>
      <c r="H99" s="3">
        <v>0</v>
      </c>
      <c r="I99" s="3">
        <v>0</v>
      </c>
      <c r="J99" s="3">
        <v>4</v>
      </c>
      <c r="K99" s="3">
        <v>0</v>
      </c>
      <c r="L99" s="3">
        <v>11</v>
      </c>
      <c r="M99" s="3">
        <v>30.476190567016602</v>
      </c>
      <c r="N99" s="3">
        <v>5.7626013866884804</v>
      </c>
      <c r="O99" s="3">
        <v>66.144764134429806</v>
      </c>
      <c r="P99" s="3">
        <v>88.722151999999994</v>
      </c>
      <c r="Q99" s="3">
        <v>0</v>
      </c>
      <c r="R99" s="3">
        <v>6</v>
      </c>
      <c r="S99" s="3">
        <v>451.18570808813485</v>
      </c>
    </row>
    <row r="100" spans="1:19" x14ac:dyDescent="0.25">
      <c r="A100" s="2" t="s">
        <v>234</v>
      </c>
      <c r="B100" s="3">
        <v>54.42</v>
      </c>
      <c r="C100" s="3">
        <v>55.35</v>
      </c>
      <c r="D100" s="3">
        <v>53.49</v>
      </c>
      <c r="E100" s="3">
        <v>47.84</v>
      </c>
      <c r="F100" s="3">
        <v>43.61</v>
      </c>
      <c r="G100" s="3">
        <v>45.54</v>
      </c>
      <c r="H100" s="3">
        <v>0</v>
      </c>
      <c r="I100" s="3">
        <v>16.100000000000001</v>
      </c>
      <c r="J100" s="3">
        <v>6</v>
      </c>
      <c r="K100" s="3">
        <v>0</v>
      </c>
      <c r="L100" s="3">
        <v>13</v>
      </c>
      <c r="M100" s="3">
        <v>21.428571701049801</v>
      </c>
      <c r="N100" s="3">
        <v>1.0251163136083301</v>
      </c>
      <c r="O100" s="3">
        <v>76.541349625306907</v>
      </c>
      <c r="P100" s="3">
        <v>83.694025999999994</v>
      </c>
      <c r="Q100" s="3">
        <v>0</v>
      </c>
      <c r="R100" s="3">
        <v>35</v>
      </c>
      <c r="S100" s="3">
        <v>553.03906363996509</v>
      </c>
    </row>
    <row r="101" spans="1:19" x14ac:dyDescent="0.25">
      <c r="A101" s="2" t="s">
        <v>236</v>
      </c>
      <c r="B101" s="3">
        <v>57.5</v>
      </c>
      <c r="C101" s="3">
        <v>53.03</v>
      </c>
      <c r="D101" s="3">
        <v>62.32</v>
      </c>
      <c r="E101" s="3">
        <v>45.54</v>
      </c>
      <c r="F101" s="3">
        <v>40.93</v>
      </c>
      <c r="G101" s="3">
        <v>46.62</v>
      </c>
      <c r="H101" s="3">
        <v>0</v>
      </c>
      <c r="I101" s="3">
        <v>7.6</v>
      </c>
      <c r="J101" s="3">
        <v>9</v>
      </c>
      <c r="K101" s="3">
        <v>35.245253713184802</v>
      </c>
      <c r="L101" s="3">
        <v>14</v>
      </c>
      <c r="M101" s="3">
        <v>34.285713195800803</v>
      </c>
      <c r="N101" s="3">
        <v>1.64309986876228</v>
      </c>
      <c r="O101" s="3">
        <v>87.481666098492795</v>
      </c>
      <c r="P101" s="3">
        <v>85.832278000000002</v>
      </c>
      <c r="Q101" s="3">
        <v>0</v>
      </c>
      <c r="R101" s="3">
        <v>26</v>
      </c>
      <c r="S101" s="3">
        <v>607.02801087624073</v>
      </c>
    </row>
    <row r="102" spans="1:19" x14ac:dyDescent="0.25">
      <c r="A102" s="2" t="s">
        <v>238</v>
      </c>
      <c r="B102" s="3">
        <v>51.37</v>
      </c>
      <c r="C102" s="3">
        <v>47.42</v>
      </c>
      <c r="D102" s="3">
        <v>55.59</v>
      </c>
      <c r="E102" s="3">
        <v>33.99</v>
      </c>
      <c r="F102" s="3">
        <v>32.770000000000003</v>
      </c>
      <c r="G102" s="3">
        <v>40.17</v>
      </c>
      <c r="H102" s="3">
        <v>0</v>
      </c>
      <c r="I102" s="3">
        <v>8.3000000000000007</v>
      </c>
      <c r="J102" s="3">
        <v>9</v>
      </c>
      <c r="K102" s="3">
        <v>0</v>
      </c>
      <c r="L102" s="3">
        <v>13</v>
      </c>
      <c r="M102" s="3">
        <v>33.809524536132798</v>
      </c>
      <c r="N102" s="3">
        <v>0</v>
      </c>
      <c r="O102" s="3">
        <v>0</v>
      </c>
      <c r="P102" s="3">
        <v>78.304129000000003</v>
      </c>
      <c r="Q102" s="3">
        <v>0</v>
      </c>
      <c r="R102" s="3">
        <v>33</v>
      </c>
      <c r="S102" s="3">
        <v>436.72365353613282</v>
      </c>
    </row>
    <row r="103" spans="1:19" x14ac:dyDescent="0.25">
      <c r="A103" s="2" t="s">
        <v>240</v>
      </c>
      <c r="B103" s="3">
        <v>95.72</v>
      </c>
      <c r="C103" s="3">
        <v>95.69</v>
      </c>
      <c r="D103" s="3">
        <v>95.75</v>
      </c>
      <c r="E103" s="3">
        <v>93.92</v>
      </c>
      <c r="F103" s="3">
        <v>71.31</v>
      </c>
      <c r="G103" s="3">
        <v>98.05</v>
      </c>
      <c r="H103" s="3">
        <v>0</v>
      </c>
      <c r="I103" s="3">
        <v>2.8</v>
      </c>
      <c r="J103" s="3">
        <v>7</v>
      </c>
      <c r="K103" s="3">
        <v>0</v>
      </c>
      <c r="L103" s="3">
        <v>10</v>
      </c>
      <c r="M103" s="3">
        <v>72.380950927734403</v>
      </c>
      <c r="N103" s="3">
        <v>0</v>
      </c>
      <c r="O103" s="3">
        <v>0</v>
      </c>
      <c r="P103" s="3">
        <v>89.859453999999999</v>
      </c>
      <c r="Q103" s="3">
        <v>0</v>
      </c>
      <c r="R103" s="3">
        <v>37</v>
      </c>
      <c r="S103" s="3">
        <v>769.4804049277343</v>
      </c>
    </row>
    <row r="104" spans="1:19" x14ac:dyDescent="0.25">
      <c r="A104" s="2" t="s">
        <v>242</v>
      </c>
      <c r="B104" s="3">
        <v>92.65</v>
      </c>
      <c r="C104" s="3">
        <v>90.18</v>
      </c>
      <c r="D104" s="3">
        <v>95.37</v>
      </c>
      <c r="E104" s="3">
        <v>87.62</v>
      </c>
      <c r="F104" s="3">
        <v>89.89</v>
      </c>
      <c r="G104" s="3">
        <v>78.16</v>
      </c>
      <c r="H104" s="3">
        <v>0</v>
      </c>
      <c r="I104" s="3">
        <v>7.7</v>
      </c>
      <c r="J104" s="3">
        <v>6</v>
      </c>
      <c r="K104" s="3">
        <v>0</v>
      </c>
      <c r="L104" s="3">
        <v>12</v>
      </c>
      <c r="M104" s="3">
        <v>77.142860412597699</v>
      </c>
      <c r="N104" s="3">
        <v>0</v>
      </c>
      <c r="O104" s="3">
        <v>0</v>
      </c>
      <c r="P104" s="3">
        <v>93.160381000000001</v>
      </c>
      <c r="Q104" s="3">
        <v>0</v>
      </c>
      <c r="R104" s="3">
        <v>6.5</v>
      </c>
      <c r="S104" s="3">
        <v>736.37324141259774</v>
      </c>
    </row>
    <row r="105" spans="1:19" x14ac:dyDescent="0.25">
      <c r="A105" s="2" t="s">
        <v>244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2</v>
      </c>
      <c r="K105" s="3">
        <v>0</v>
      </c>
      <c r="L105" s="3">
        <v>12</v>
      </c>
      <c r="M105" s="3">
        <v>79.245285034179702</v>
      </c>
      <c r="N105" s="3">
        <v>0</v>
      </c>
      <c r="O105" s="3">
        <v>0</v>
      </c>
      <c r="P105" s="3">
        <v>94.148753999999997</v>
      </c>
      <c r="Q105" s="3">
        <v>0</v>
      </c>
      <c r="R105" s="3">
        <v>8.6999999999999993</v>
      </c>
      <c r="S105" s="3">
        <v>196.09403903417967</v>
      </c>
    </row>
    <row r="106" spans="1:19" x14ac:dyDescent="0.25">
      <c r="A106" s="2" t="s">
        <v>250</v>
      </c>
      <c r="B106" s="3">
        <v>69.12</v>
      </c>
      <c r="C106" s="3">
        <v>65.739999999999995</v>
      </c>
      <c r="D106" s="3">
        <v>72.680000000000007</v>
      </c>
      <c r="E106" s="3">
        <v>57.12</v>
      </c>
      <c r="F106" s="3">
        <v>37.49</v>
      </c>
      <c r="G106" s="3">
        <v>71.92</v>
      </c>
      <c r="H106" s="3">
        <v>0</v>
      </c>
      <c r="I106" s="3">
        <v>5.4</v>
      </c>
      <c r="J106" s="3">
        <v>9</v>
      </c>
      <c r="K106" s="3">
        <v>57.143259151253702</v>
      </c>
      <c r="L106" s="3">
        <v>10</v>
      </c>
      <c r="M106" s="3">
        <v>56.132076263427699</v>
      </c>
      <c r="N106" s="3">
        <v>0</v>
      </c>
      <c r="O106" s="3">
        <v>0</v>
      </c>
      <c r="P106" s="3">
        <v>87.235363000000007</v>
      </c>
      <c r="Q106" s="3">
        <v>0</v>
      </c>
      <c r="R106" s="3">
        <v>20</v>
      </c>
      <c r="S106" s="3">
        <v>618.98069841468146</v>
      </c>
    </row>
    <row r="107" spans="1:19" x14ac:dyDescent="0.25">
      <c r="A107" s="2" t="s">
        <v>246</v>
      </c>
      <c r="B107" s="3">
        <v>89.72</v>
      </c>
      <c r="C107" s="3">
        <v>90.11</v>
      </c>
      <c r="D107" s="3">
        <v>89.26</v>
      </c>
      <c r="E107" s="3">
        <v>85.81</v>
      </c>
      <c r="F107" s="3">
        <v>82.29</v>
      </c>
      <c r="G107" s="3">
        <v>93.49</v>
      </c>
      <c r="H107" s="3">
        <v>0</v>
      </c>
      <c r="I107" s="3">
        <v>26.8</v>
      </c>
      <c r="J107" s="3">
        <v>6</v>
      </c>
      <c r="K107" s="3">
        <v>22.992021036968001</v>
      </c>
      <c r="L107" s="3">
        <v>11</v>
      </c>
      <c r="M107" s="3">
        <v>23.809524536132798</v>
      </c>
      <c r="N107" s="3">
        <v>0</v>
      </c>
      <c r="O107" s="3">
        <v>0</v>
      </c>
      <c r="P107" s="3">
        <v>84.132901000000004</v>
      </c>
      <c r="Q107" s="3">
        <v>0</v>
      </c>
      <c r="R107" s="3">
        <v>10.1</v>
      </c>
      <c r="S107" s="3">
        <v>715.51444657310083</v>
      </c>
    </row>
    <row r="108" spans="1:19" x14ac:dyDescent="0.25">
      <c r="A108" s="2" t="s">
        <v>248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12.3</v>
      </c>
      <c r="J108" s="3">
        <v>8</v>
      </c>
      <c r="K108" s="3">
        <v>0</v>
      </c>
      <c r="L108" s="3">
        <v>6</v>
      </c>
      <c r="M108" s="3">
        <v>73.113204956054702</v>
      </c>
      <c r="N108" s="3">
        <v>0</v>
      </c>
      <c r="O108" s="3">
        <v>0</v>
      </c>
      <c r="P108" s="3">
        <v>72.206030999999996</v>
      </c>
      <c r="Q108" s="3">
        <v>0</v>
      </c>
      <c r="R108" s="3">
        <v>4</v>
      </c>
      <c r="S108" s="3">
        <v>175.61923595605469</v>
      </c>
    </row>
    <row r="109" spans="1:19" x14ac:dyDescent="0.25">
      <c r="A109" s="2" t="s">
        <v>252</v>
      </c>
      <c r="B109" s="3">
        <v>74.319999999999993</v>
      </c>
      <c r="C109" s="3">
        <v>63.49</v>
      </c>
      <c r="D109" s="3">
        <v>81.67</v>
      </c>
      <c r="E109" s="3">
        <v>66.61</v>
      </c>
      <c r="F109" s="3">
        <v>76.8</v>
      </c>
      <c r="G109" s="3">
        <v>70.52</v>
      </c>
      <c r="H109" s="3">
        <v>0</v>
      </c>
      <c r="I109" s="3">
        <v>4.5</v>
      </c>
      <c r="J109" s="3">
        <v>9</v>
      </c>
      <c r="K109" s="3">
        <v>0</v>
      </c>
      <c r="L109" s="3">
        <v>9</v>
      </c>
      <c r="M109" s="3">
        <v>66.509437561035199</v>
      </c>
      <c r="N109" s="3">
        <v>0</v>
      </c>
      <c r="O109" s="3">
        <v>0</v>
      </c>
      <c r="P109" s="3">
        <v>89.393818999999993</v>
      </c>
      <c r="Q109" s="3">
        <v>0</v>
      </c>
      <c r="R109" s="3">
        <v>10.4</v>
      </c>
      <c r="S109" s="3">
        <v>622.21325656103522</v>
      </c>
    </row>
    <row r="110" spans="1:19" x14ac:dyDescent="0.25">
      <c r="A110" s="2" t="s">
        <v>254</v>
      </c>
      <c r="B110" s="3">
        <v>89.42</v>
      </c>
      <c r="C110" s="3">
        <v>89.83</v>
      </c>
      <c r="D110" s="3">
        <v>88.99</v>
      </c>
      <c r="E110" s="3">
        <v>84.28</v>
      </c>
      <c r="F110" s="3">
        <v>80.42</v>
      </c>
      <c r="G110" s="3">
        <v>69.400000000000006</v>
      </c>
      <c r="H110" s="3">
        <v>0</v>
      </c>
      <c r="I110" s="3">
        <v>6.9</v>
      </c>
      <c r="J110" s="3">
        <v>6</v>
      </c>
      <c r="K110" s="3">
        <v>0</v>
      </c>
      <c r="L110" s="3">
        <v>8</v>
      </c>
      <c r="M110" s="3">
        <v>38.207546234130902</v>
      </c>
      <c r="N110" s="3">
        <v>0</v>
      </c>
      <c r="O110" s="3">
        <v>0</v>
      </c>
      <c r="P110" s="3">
        <v>87.675888999999998</v>
      </c>
      <c r="Q110" s="3">
        <v>0</v>
      </c>
      <c r="R110" s="3">
        <v>7</v>
      </c>
      <c r="S110" s="3">
        <v>656.12343523413085</v>
      </c>
    </row>
    <row r="111" spans="1:19" x14ac:dyDescent="0.25">
      <c r="A111" s="2" t="s">
        <v>256</v>
      </c>
      <c r="B111" s="3">
        <v>97.55</v>
      </c>
      <c r="C111" s="3">
        <v>96.87</v>
      </c>
      <c r="D111" s="3">
        <v>98.27</v>
      </c>
      <c r="E111" s="3">
        <v>95.55</v>
      </c>
      <c r="F111" s="3">
        <v>92.44</v>
      </c>
      <c r="G111" s="3">
        <v>94.36</v>
      </c>
      <c r="H111" s="3">
        <v>0</v>
      </c>
      <c r="I111" s="3">
        <v>0.6</v>
      </c>
      <c r="J111" s="3">
        <v>10</v>
      </c>
      <c r="K111" s="3">
        <v>151.56632474280801</v>
      </c>
      <c r="L111" s="3">
        <v>6</v>
      </c>
      <c r="M111" s="3">
        <v>99.047622680664105</v>
      </c>
      <c r="N111" s="3">
        <v>0</v>
      </c>
      <c r="O111" s="3">
        <v>0</v>
      </c>
      <c r="P111" s="3">
        <v>94.291038999999998</v>
      </c>
      <c r="Q111" s="3">
        <v>0</v>
      </c>
      <c r="R111" s="3">
        <v>1.5</v>
      </c>
      <c r="S111" s="3">
        <v>938.04498642347198</v>
      </c>
    </row>
    <row r="112" spans="1:19" x14ac:dyDescent="0.25">
      <c r="A112" s="2" t="s">
        <v>258</v>
      </c>
      <c r="B112" s="3">
        <v>95.62</v>
      </c>
      <c r="C112" s="3">
        <v>94.01</v>
      </c>
      <c r="D112" s="3">
        <v>97.36</v>
      </c>
      <c r="E112" s="3">
        <v>90.83</v>
      </c>
      <c r="F112" s="3">
        <v>70.75</v>
      </c>
      <c r="G112" s="3">
        <v>96.05</v>
      </c>
      <c r="H112" s="3">
        <v>0</v>
      </c>
      <c r="I112" s="3">
        <v>2.4</v>
      </c>
      <c r="J112" s="3">
        <v>3</v>
      </c>
      <c r="K112" s="3">
        <v>77.602883349438201</v>
      </c>
      <c r="L112" s="3">
        <v>11</v>
      </c>
      <c r="M112" s="3">
        <v>64.285713195800795</v>
      </c>
      <c r="N112" s="3">
        <v>0</v>
      </c>
      <c r="O112" s="3">
        <v>0</v>
      </c>
      <c r="P112" s="3">
        <v>89.688047999999995</v>
      </c>
      <c r="Q112" s="3">
        <v>0</v>
      </c>
      <c r="R112" s="3">
        <v>21.5</v>
      </c>
      <c r="S112" s="3">
        <v>814.09664454523897</v>
      </c>
    </row>
    <row r="113" spans="1:19" x14ac:dyDescent="0.25">
      <c r="A113" s="2" t="s">
        <v>260</v>
      </c>
      <c r="B113" s="3">
        <v>99.05</v>
      </c>
      <c r="C113" s="3">
        <v>98.15</v>
      </c>
      <c r="D113" s="3">
        <v>100</v>
      </c>
      <c r="E113" s="3">
        <v>97.62</v>
      </c>
      <c r="F113" s="3">
        <v>96.81</v>
      </c>
      <c r="G113" s="3">
        <v>100</v>
      </c>
      <c r="H113" s="3">
        <v>0</v>
      </c>
      <c r="I113" s="3">
        <v>1.8</v>
      </c>
      <c r="J113" s="3">
        <v>5</v>
      </c>
      <c r="K113" s="3">
        <v>0</v>
      </c>
      <c r="L113" s="3">
        <v>9</v>
      </c>
      <c r="M113" s="3">
        <v>80</v>
      </c>
      <c r="N113" s="3">
        <v>0</v>
      </c>
      <c r="O113" s="3">
        <v>0</v>
      </c>
      <c r="P113" s="3">
        <v>93.232579999999999</v>
      </c>
      <c r="Q113" s="3">
        <v>0</v>
      </c>
      <c r="R113" s="3">
        <v>8</v>
      </c>
      <c r="S113" s="3">
        <v>788.66257999999993</v>
      </c>
    </row>
    <row r="114" spans="1:19" x14ac:dyDescent="0.25">
      <c r="A114" s="2" t="s">
        <v>262</v>
      </c>
      <c r="B114" s="3">
        <v>85.38</v>
      </c>
      <c r="C114" s="3">
        <v>86.18</v>
      </c>
      <c r="D114" s="3">
        <v>84.56</v>
      </c>
      <c r="E114" s="3">
        <v>77.819999999999993</v>
      </c>
      <c r="F114" s="3">
        <v>76.02</v>
      </c>
      <c r="G114" s="3">
        <v>79.06</v>
      </c>
      <c r="H114" s="3">
        <v>0</v>
      </c>
      <c r="I114" s="3">
        <v>1.5</v>
      </c>
      <c r="J114" s="3">
        <v>8</v>
      </c>
      <c r="K114" s="3">
        <v>76.237238333753098</v>
      </c>
      <c r="L114" s="3">
        <v>9</v>
      </c>
      <c r="M114" s="3">
        <v>54.285713195800803</v>
      </c>
      <c r="N114" s="3">
        <v>0.55485179503274296</v>
      </c>
      <c r="O114" s="3">
        <v>82.606359846140094</v>
      </c>
      <c r="P114" s="3">
        <v>67.756465000000006</v>
      </c>
      <c r="Q114" s="3">
        <v>0</v>
      </c>
      <c r="R114" s="3">
        <v>40</v>
      </c>
      <c r="S114" s="3">
        <v>828.96062817072675</v>
      </c>
    </row>
    <row r="115" spans="1:19" x14ac:dyDescent="0.25">
      <c r="A115" s="2" t="s">
        <v>264</v>
      </c>
      <c r="B115" s="3">
        <v>98.3</v>
      </c>
      <c r="C115" s="3">
        <v>97.49</v>
      </c>
      <c r="D115" s="3">
        <v>99.11</v>
      </c>
      <c r="E115" s="3">
        <v>97.93</v>
      </c>
      <c r="F115" s="3">
        <v>96.37</v>
      </c>
      <c r="G115" s="3">
        <v>96.84</v>
      </c>
      <c r="H115" s="3">
        <v>0</v>
      </c>
      <c r="I115" s="3">
        <v>3.5</v>
      </c>
      <c r="J115" s="3">
        <v>7</v>
      </c>
      <c r="K115" s="3">
        <v>138.91198855805999</v>
      </c>
      <c r="L115" s="3">
        <v>10</v>
      </c>
      <c r="M115" s="3">
        <v>75.714286804199205</v>
      </c>
      <c r="N115" s="3">
        <v>0</v>
      </c>
      <c r="O115" s="3">
        <v>0</v>
      </c>
      <c r="P115" s="3">
        <v>94.078739999999996</v>
      </c>
      <c r="Q115" s="3">
        <v>0</v>
      </c>
      <c r="R115" s="3">
        <v>12.5</v>
      </c>
      <c r="S115" s="3">
        <v>927.74501536225921</v>
      </c>
    </row>
    <row r="116" spans="1:19" x14ac:dyDescent="0.25">
      <c r="A116" s="2" t="s">
        <v>266</v>
      </c>
      <c r="B116" s="3">
        <v>89.27</v>
      </c>
      <c r="C116" s="3">
        <v>89.28</v>
      </c>
      <c r="D116" s="3">
        <v>89.26</v>
      </c>
      <c r="E116" s="3">
        <v>87.08</v>
      </c>
      <c r="F116" s="3">
        <v>76.930000000000007</v>
      </c>
      <c r="G116" s="3">
        <v>86.4</v>
      </c>
      <c r="H116" s="3">
        <v>0</v>
      </c>
      <c r="I116" s="3">
        <v>0</v>
      </c>
      <c r="J116" s="3">
        <v>8</v>
      </c>
      <c r="K116" s="3">
        <v>0</v>
      </c>
      <c r="L116" s="3">
        <v>11</v>
      </c>
      <c r="M116" s="3">
        <v>44.285713195800803</v>
      </c>
      <c r="N116" s="3">
        <v>2.8901918730262199</v>
      </c>
      <c r="O116" s="3">
        <v>29.985752283944901</v>
      </c>
      <c r="P116" s="3">
        <v>90.438481999999993</v>
      </c>
      <c r="Q116" s="3">
        <v>0</v>
      </c>
      <c r="R116" s="3">
        <v>8</v>
      </c>
      <c r="S116" s="3">
        <v>712.82013935277189</v>
      </c>
    </row>
    <row r="117" spans="1:19" x14ac:dyDescent="0.25">
      <c r="A117" s="2" t="s">
        <v>270</v>
      </c>
      <c r="B117" s="3">
        <v>99.69</v>
      </c>
      <c r="C117" s="3">
        <v>100</v>
      </c>
      <c r="D117" s="3">
        <v>99.39</v>
      </c>
      <c r="E117" s="3">
        <v>99.22</v>
      </c>
      <c r="F117" s="3">
        <v>100</v>
      </c>
      <c r="G117" s="3">
        <v>100</v>
      </c>
      <c r="H117" s="3">
        <v>0</v>
      </c>
      <c r="I117" s="3">
        <v>0</v>
      </c>
      <c r="J117" s="3">
        <v>8</v>
      </c>
      <c r="K117" s="3">
        <v>44.178006754859297</v>
      </c>
      <c r="L117" s="3">
        <v>10</v>
      </c>
      <c r="M117" s="3">
        <v>98.095237731933594</v>
      </c>
      <c r="N117" s="3">
        <v>0</v>
      </c>
      <c r="O117" s="3">
        <v>0</v>
      </c>
      <c r="P117" s="3">
        <v>93.968680000000006</v>
      </c>
      <c r="Q117" s="3">
        <v>0</v>
      </c>
      <c r="R117" s="3">
        <v>7.5</v>
      </c>
      <c r="S117" s="3">
        <v>860.04192448679282</v>
      </c>
    </row>
    <row r="118" spans="1:19" x14ac:dyDescent="0.25">
      <c r="A118" s="2" t="s">
        <v>268</v>
      </c>
      <c r="B118" s="3">
        <v>99.49</v>
      </c>
      <c r="C118" s="3">
        <v>99.02</v>
      </c>
      <c r="D118" s="3">
        <v>100</v>
      </c>
      <c r="E118" s="3">
        <v>99.49</v>
      </c>
      <c r="F118" s="3">
        <v>98.54</v>
      </c>
      <c r="G118" s="3">
        <v>100</v>
      </c>
      <c r="H118" s="3">
        <v>0</v>
      </c>
      <c r="I118" s="3">
        <v>0</v>
      </c>
      <c r="J118" s="3">
        <v>0</v>
      </c>
      <c r="K118" s="3">
        <v>20.852107673759601</v>
      </c>
      <c r="L118" s="3">
        <v>11</v>
      </c>
      <c r="M118" s="3">
        <v>97.169815063476605</v>
      </c>
      <c r="N118" s="3">
        <v>0</v>
      </c>
      <c r="O118" s="3">
        <v>0</v>
      </c>
      <c r="P118" s="3">
        <v>94.406327000000005</v>
      </c>
      <c r="Q118" s="3">
        <v>0</v>
      </c>
      <c r="R118" s="3">
        <v>10</v>
      </c>
      <c r="S118" s="3">
        <v>829.96824973723619</v>
      </c>
    </row>
    <row r="119" spans="1:19" x14ac:dyDescent="0.25">
      <c r="A119" s="2" t="s">
        <v>272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7</v>
      </c>
      <c r="K119" s="3">
        <v>0</v>
      </c>
      <c r="L119" s="3">
        <v>9</v>
      </c>
      <c r="M119" s="3">
        <v>1.42857146263123</v>
      </c>
      <c r="N119" s="3">
        <v>0</v>
      </c>
      <c r="O119" s="3">
        <v>0</v>
      </c>
      <c r="P119" s="3">
        <v>83.325704999999999</v>
      </c>
      <c r="Q119" s="3">
        <v>0</v>
      </c>
      <c r="R119" s="3">
        <v>15.5</v>
      </c>
      <c r="S119" s="3">
        <v>116.25427646263122</v>
      </c>
    </row>
    <row r="120" spans="1:19" x14ac:dyDescent="0.25">
      <c r="A120" s="2" t="s">
        <v>274</v>
      </c>
      <c r="B120" s="3">
        <v>39.49</v>
      </c>
      <c r="C120" s="3">
        <v>39.409999999999997</v>
      </c>
      <c r="D120" s="3">
        <v>39.57</v>
      </c>
      <c r="E120" s="3">
        <v>38.229999999999997</v>
      </c>
      <c r="F120" s="3">
        <v>32.17</v>
      </c>
      <c r="G120" s="3">
        <v>18.079999999999998</v>
      </c>
      <c r="H120" s="3">
        <v>0</v>
      </c>
      <c r="I120" s="3">
        <v>11.1</v>
      </c>
      <c r="J120" s="3">
        <v>8</v>
      </c>
      <c r="K120" s="3">
        <v>0</v>
      </c>
      <c r="L120" s="3">
        <v>9</v>
      </c>
      <c r="M120" s="3">
        <v>9.0476188659668004</v>
      </c>
      <c r="N120" s="3">
        <v>0</v>
      </c>
      <c r="O120" s="3">
        <v>0</v>
      </c>
      <c r="P120" s="3">
        <v>81.096016000000006</v>
      </c>
      <c r="Q120" s="3">
        <v>0</v>
      </c>
      <c r="R120" s="3">
        <v>7</v>
      </c>
      <c r="S120" s="3">
        <v>332.19363486596677</v>
      </c>
    </row>
    <row r="121" spans="1:19" x14ac:dyDescent="0.25">
      <c r="A121" s="2" t="s">
        <v>278</v>
      </c>
      <c r="B121" s="3">
        <v>52.43</v>
      </c>
      <c r="C121" s="3">
        <v>46.03</v>
      </c>
      <c r="D121" s="3">
        <v>59.37</v>
      </c>
      <c r="E121" s="3">
        <v>39.020000000000003</v>
      </c>
      <c r="F121" s="3">
        <v>46.7</v>
      </c>
      <c r="G121" s="3">
        <v>49.9</v>
      </c>
      <c r="H121" s="3">
        <v>0</v>
      </c>
      <c r="I121" s="3">
        <v>6.9</v>
      </c>
      <c r="J121" s="3">
        <v>2</v>
      </c>
      <c r="K121" s="3">
        <v>0</v>
      </c>
      <c r="L121" s="3">
        <v>7</v>
      </c>
      <c r="M121" s="3">
        <v>43.867923736572301</v>
      </c>
      <c r="N121" s="3">
        <v>0</v>
      </c>
      <c r="O121" s="3">
        <v>0</v>
      </c>
      <c r="P121" s="3">
        <v>70.356630999999993</v>
      </c>
      <c r="Q121" s="3">
        <v>0</v>
      </c>
      <c r="R121" s="3">
        <v>29.5</v>
      </c>
      <c r="S121" s="3">
        <v>453.07455473657228</v>
      </c>
    </row>
    <row r="122" spans="1:19" x14ac:dyDescent="0.25">
      <c r="A122" s="2" t="s">
        <v>276</v>
      </c>
      <c r="B122" s="3">
        <v>95.58</v>
      </c>
      <c r="C122" s="3">
        <v>92.7</v>
      </c>
      <c r="D122" s="3">
        <v>98.61</v>
      </c>
      <c r="E122" s="3">
        <v>97.68</v>
      </c>
      <c r="F122" s="3">
        <v>93.47</v>
      </c>
      <c r="G122" s="3">
        <v>97</v>
      </c>
      <c r="H122" s="3">
        <v>0</v>
      </c>
      <c r="I122" s="3">
        <v>0</v>
      </c>
      <c r="J122" s="3">
        <v>10</v>
      </c>
      <c r="K122" s="3">
        <v>61.235648256074398</v>
      </c>
      <c r="L122" s="3">
        <v>9</v>
      </c>
      <c r="M122" s="3">
        <v>35.849056243896499</v>
      </c>
      <c r="N122" s="3">
        <v>11.049456316854</v>
      </c>
      <c r="O122" s="3">
        <v>77.210040268291706</v>
      </c>
      <c r="P122" s="3">
        <v>87.878264999999999</v>
      </c>
      <c r="Q122" s="3">
        <v>0</v>
      </c>
      <c r="R122" s="3">
        <v>6</v>
      </c>
      <c r="S122" s="3">
        <v>873.26246608511656</v>
      </c>
    </row>
    <row r="123" spans="1:19" x14ac:dyDescent="0.25">
      <c r="A123" s="2" t="s">
        <v>280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4</v>
      </c>
      <c r="K123" s="3">
        <v>0</v>
      </c>
      <c r="L123" s="3">
        <v>7</v>
      </c>
      <c r="M123" s="3">
        <v>48.095237731933601</v>
      </c>
      <c r="N123" s="3">
        <v>0</v>
      </c>
      <c r="O123" s="3">
        <v>0</v>
      </c>
      <c r="P123" s="3">
        <v>83.336843000000002</v>
      </c>
      <c r="Q123" s="3">
        <v>0</v>
      </c>
      <c r="R123" s="3">
        <v>10.5</v>
      </c>
      <c r="S123" s="3">
        <v>152.93208073193361</v>
      </c>
    </row>
    <row r="124" spans="1:19" x14ac:dyDescent="0.25">
      <c r="A124" s="2" t="s">
        <v>282</v>
      </c>
      <c r="B124" s="3">
        <v>36.85</v>
      </c>
      <c r="C124" s="3">
        <v>28.75</v>
      </c>
      <c r="D124" s="3">
        <v>45.14</v>
      </c>
      <c r="E124" s="3">
        <v>32.020000000000003</v>
      </c>
      <c r="F124" s="3">
        <v>29.26</v>
      </c>
      <c r="G124" s="3">
        <v>24.34</v>
      </c>
      <c r="H124" s="3">
        <v>0</v>
      </c>
      <c r="I124" s="3">
        <v>11.9</v>
      </c>
      <c r="J124" s="3">
        <v>6</v>
      </c>
      <c r="K124" s="3">
        <v>0</v>
      </c>
      <c r="L124" s="3">
        <v>9</v>
      </c>
      <c r="M124" s="3">
        <v>50.952381134033203</v>
      </c>
      <c r="N124" s="3">
        <v>0</v>
      </c>
      <c r="O124" s="3">
        <v>0</v>
      </c>
      <c r="P124" s="3">
        <v>89.196151999999998</v>
      </c>
      <c r="Q124" s="3">
        <v>0</v>
      </c>
      <c r="R124" s="3">
        <v>9</v>
      </c>
      <c r="S124" s="3">
        <v>372.40853313403318</v>
      </c>
    </row>
    <row r="125" spans="1:19" x14ac:dyDescent="0.25">
      <c r="A125" s="2" t="s">
        <v>284</v>
      </c>
      <c r="B125" s="3">
        <v>65.91</v>
      </c>
      <c r="C125" s="3">
        <v>65.06</v>
      </c>
      <c r="D125" s="3">
        <v>66.88</v>
      </c>
      <c r="E125" s="3">
        <v>51.39</v>
      </c>
      <c r="F125" s="3">
        <v>54.26</v>
      </c>
      <c r="G125" s="3">
        <v>62.65</v>
      </c>
      <c r="H125" s="3">
        <v>0</v>
      </c>
      <c r="I125" s="3">
        <v>0</v>
      </c>
      <c r="J125" s="3">
        <v>3</v>
      </c>
      <c r="K125" s="3">
        <v>53.890283064004002</v>
      </c>
      <c r="L125" s="3">
        <v>7</v>
      </c>
      <c r="M125" s="3">
        <v>16.509433746337901</v>
      </c>
      <c r="N125" s="3">
        <v>0</v>
      </c>
      <c r="O125" s="3">
        <v>0</v>
      </c>
      <c r="P125" s="3">
        <v>69.601010000000002</v>
      </c>
      <c r="Q125" s="3">
        <v>0</v>
      </c>
      <c r="R125" s="3">
        <v>24</v>
      </c>
      <c r="S125" s="3">
        <v>540.15072681034189</v>
      </c>
    </row>
    <row r="126" spans="1:19" x14ac:dyDescent="0.25">
      <c r="A126" s="2" t="s">
        <v>286</v>
      </c>
      <c r="B126" s="3">
        <v>83.56</v>
      </c>
      <c r="C126" s="3">
        <v>80.69</v>
      </c>
      <c r="D126" s="3">
        <v>87.07</v>
      </c>
      <c r="E126" s="3">
        <v>79.73</v>
      </c>
      <c r="F126" s="3">
        <v>44.94</v>
      </c>
      <c r="G126" s="3">
        <v>90.89</v>
      </c>
      <c r="H126" s="3">
        <v>0</v>
      </c>
      <c r="I126" s="3">
        <v>37.4</v>
      </c>
      <c r="J126" s="3">
        <v>9</v>
      </c>
      <c r="K126" s="3">
        <v>58.716185073232602</v>
      </c>
      <c r="L126" s="3">
        <v>11</v>
      </c>
      <c r="M126" s="3">
        <v>29.245283126831101</v>
      </c>
      <c r="N126" s="3">
        <v>59.606289785485203</v>
      </c>
      <c r="O126" s="3">
        <v>36.7526966901492</v>
      </c>
      <c r="P126" s="3">
        <v>86.119178000000005</v>
      </c>
      <c r="Q126" s="3">
        <v>0</v>
      </c>
      <c r="R126" s="3">
        <v>6.5</v>
      </c>
      <c r="S126" s="3">
        <v>801.21963267569799</v>
      </c>
    </row>
    <row r="127" spans="1:19" x14ac:dyDescent="0.25">
      <c r="A127" s="2" t="s">
        <v>288</v>
      </c>
      <c r="B127" s="3">
        <v>85.74</v>
      </c>
      <c r="C127" s="3">
        <v>86.68</v>
      </c>
      <c r="D127" s="3">
        <v>85.39</v>
      </c>
      <c r="E127" s="3">
        <v>83.4</v>
      </c>
      <c r="F127" s="3">
        <v>75.97</v>
      </c>
      <c r="G127" s="3">
        <v>79.430000000000007</v>
      </c>
      <c r="H127" s="3">
        <v>0</v>
      </c>
      <c r="I127" s="3">
        <v>0</v>
      </c>
      <c r="J127" s="3">
        <v>10</v>
      </c>
      <c r="K127" s="3">
        <v>0</v>
      </c>
      <c r="L127" s="3">
        <v>12</v>
      </c>
      <c r="M127" s="3">
        <v>83.490562438964801</v>
      </c>
      <c r="N127" s="3">
        <v>0</v>
      </c>
      <c r="O127" s="3">
        <v>0</v>
      </c>
      <c r="P127" s="3">
        <v>95.993195999999998</v>
      </c>
      <c r="Q127" s="3">
        <v>0</v>
      </c>
      <c r="R127" s="3">
        <v>3.8</v>
      </c>
      <c r="S127" s="3">
        <v>701.89375843896494</v>
      </c>
    </row>
    <row r="128" spans="1:19" x14ac:dyDescent="0.25">
      <c r="A128" s="2" t="s">
        <v>290</v>
      </c>
      <c r="B128" s="3">
        <v>99.76</v>
      </c>
      <c r="C128" s="3">
        <v>99.91</v>
      </c>
      <c r="D128" s="3">
        <v>99.61</v>
      </c>
      <c r="E128" s="3">
        <v>99.57</v>
      </c>
      <c r="F128" s="3">
        <v>98.33</v>
      </c>
      <c r="G128" s="3">
        <v>100</v>
      </c>
      <c r="H128" s="3">
        <v>0</v>
      </c>
      <c r="I128" s="3">
        <v>0</v>
      </c>
      <c r="J128" s="3">
        <v>10</v>
      </c>
      <c r="K128" s="3">
        <v>196.640576642773</v>
      </c>
      <c r="L128" s="3">
        <v>11</v>
      </c>
      <c r="M128" s="3">
        <v>94.285713195800795</v>
      </c>
      <c r="N128" s="3">
        <v>0</v>
      </c>
      <c r="O128" s="3">
        <v>0</v>
      </c>
      <c r="P128" s="3">
        <v>91.361521999999994</v>
      </c>
      <c r="Q128" s="3">
        <v>0</v>
      </c>
      <c r="R128" s="3">
        <v>4.5</v>
      </c>
      <c r="S128" s="3">
        <v>1004.9678118385739</v>
      </c>
    </row>
    <row r="129" spans="1:19" x14ac:dyDescent="0.25">
      <c r="A129" s="2" t="s">
        <v>292</v>
      </c>
      <c r="B129" s="3">
        <v>94.95</v>
      </c>
      <c r="C129" s="3">
        <v>96.79</v>
      </c>
      <c r="D129" s="3">
        <v>93.09</v>
      </c>
      <c r="E129" s="3">
        <v>91.25</v>
      </c>
      <c r="F129" s="3">
        <v>57.72</v>
      </c>
      <c r="G129" s="3">
        <v>93.8</v>
      </c>
      <c r="H129" s="3">
        <v>0</v>
      </c>
      <c r="I129" s="3">
        <v>0</v>
      </c>
      <c r="J129" s="3">
        <v>7.4</v>
      </c>
      <c r="K129" s="3">
        <v>124.550890800621</v>
      </c>
      <c r="L129" s="3">
        <v>12</v>
      </c>
      <c r="M129" s="3">
        <v>87.619049072265597</v>
      </c>
      <c r="N129" s="3">
        <v>0</v>
      </c>
      <c r="O129" s="3">
        <v>0</v>
      </c>
      <c r="P129" s="3">
        <v>87.818218999999999</v>
      </c>
      <c r="Q129" s="3">
        <v>0</v>
      </c>
      <c r="R129" s="3">
        <v>4.2</v>
      </c>
      <c r="S129" s="3">
        <v>851.18815887288667</v>
      </c>
    </row>
    <row r="130" spans="1:19" x14ac:dyDescent="0.25">
      <c r="A130" s="2" t="s">
        <v>294</v>
      </c>
      <c r="B130" s="3">
        <v>74.13</v>
      </c>
      <c r="C130" s="3">
        <v>75.73</v>
      </c>
      <c r="D130" s="3">
        <v>72.349999999999994</v>
      </c>
      <c r="E130" s="3">
        <v>63.23</v>
      </c>
      <c r="F130" s="3">
        <v>65.36</v>
      </c>
      <c r="G130" s="3">
        <v>59.46</v>
      </c>
      <c r="H130" s="3">
        <v>0</v>
      </c>
      <c r="I130" s="3">
        <v>0</v>
      </c>
      <c r="J130" s="3">
        <v>3</v>
      </c>
      <c r="K130" s="3">
        <v>60.278431865455403</v>
      </c>
      <c r="L130" s="3">
        <v>14</v>
      </c>
      <c r="M130" s="3">
        <v>92.452827453613295</v>
      </c>
      <c r="N130" s="3">
        <v>21.634540285544698</v>
      </c>
      <c r="O130" s="3">
        <v>59.535378657606998</v>
      </c>
      <c r="P130" s="3">
        <v>87.813433000000003</v>
      </c>
      <c r="Q130" s="3">
        <v>0</v>
      </c>
      <c r="R130" s="3">
        <v>6.5</v>
      </c>
      <c r="S130" s="3">
        <v>755.47461126222049</v>
      </c>
    </row>
    <row r="131" spans="1:19" x14ac:dyDescent="0.25">
      <c r="A131" s="2" t="s">
        <v>296</v>
      </c>
      <c r="B131" s="3">
        <v>44.13</v>
      </c>
      <c r="C131" s="3">
        <v>38.82</v>
      </c>
      <c r="D131" s="3">
        <v>50.24</v>
      </c>
      <c r="E131" s="3">
        <v>41.5</v>
      </c>
      <c r="F131" s="3">
        <v>23.85</v>
      </c>
      <c r="G131" s="3">
        <v>24.4</v>
      </c>
      <c r="H131" s="3">
        <v>0</v>
      </c>
      <c r="I131" s="3">
        <v>5.9</v>
      </c>
      <c r="J131" s="3">
        <v>8</v>
      </c>
      <c r="K131" s="3">
        <v>0</v>
      </c>
      <c r="L131" s="3">
        <v>12</v>
      </c>
      <c r="M131" s="3">
        <v>24.5283012390137</v>
      </c>
      <c r="N131" s="3">
        <v>0</v>
      </c>
      <c r="O131" s="3">
        <v>0</v>
      </c>
      <c r="P131" s="3">
        <v>81.536681000000002</v>
      </c>
      <c r="Q131" s="3">
        <v>0</v>
      </c>
      <c r="R131" s="3">
        <v>3</v>
      </c>
      <c r="S131" s="3">
        <v>357.90498223901369</v>
      </c>
    </row>
    <row r="132" spans="1:19" x14ac:dyDescent="0.25">
      <c r="A132" s="2" t="s">
        <v>298</v>
      </c>
      <c r="B132" s="3">
        <v>84.39</v>
      </c>
      <c r="C132" s="3">
        <v>79.67</v>
      </c>
      <c r="D132" s="3">
        <v>89.06</v>
      </c>
      <c r="E132" s="3">
        <v>78.209999999999994</v>
      </c>
      <c r="F132" s="3">
        <v>83</v>
      </c>
      <c r="G132" s="3">
        <v>62.24</v>
      </c>
      <c r="H132" s="3">
        <v>0</v>
      </c>
      <c r="I132" s="3">
        <v>0</v>
      </c>
      <c r="J132" s="3">
        <v>3</v>
      </c>
      <c r="K132" s="3">
        <v>0</v>
      </c>
      <c r="L132" s="3">
        <v>17</v>
      </c>
      <c r="M132" s="3">
        <v>3.8095238208770801</v>
      </c>
      <c r="N132" s="3">
        <v>0</v>
      </c>
      <c r="O132" s="3">
        <v>0</v>
      </c>
      <c r="P132" s="3">
        <v>83.419809999999998</v>
      </c>
      <c r="Q132" s="3">
        <v>0</v>
      </c>
      <c r="R132" s="3">
        <v>230</v>
      </c>
      <c r="S132" s="3">
        <v>813.79933382087711</v>
      </c>
    </row>
    <row r="133" spans="1:19" x14ac:dyDescent="0.25">
      <c r="A133" s="2" t="s">
        <v>300</v>
      </c>
      <c r="B133" s="3">
        <v>48.52</v>
      </c>
      <c r="C133" s="3">
        <v>44.98</v>
      </c>
      <c r="D133" s="3">
        <v>52.48</v>
      </c>
      <c r="E133" s="3">
        <v>32.909999999999997</v>
      </c>
      <c r="F133" s="3">
        <v>33.020000000000003</v>
      </c>
      <c r="G133" s="3">
        <v>44.51</v>
      </c>
      <c r="H133" s="3">
        <v>0</v>
      </c>
      <c r="I133" s="3">
        <v>9.6</v>
      </c>
      <c r="J133" s="3">
        <v>4</v>
      </c>
      <c r="K133" s="3">
        <v>103.54315235027001</v>
      </c>
      <c r="L133" s="3">
        <v>7</v>
      </c>
      <c r="M133" s="3">
        <v>36.792453765869098</v>
      </c>
      <c r="N133" s="3">
        <v>0</v>
      </c>
      <c r="O133" s="3">
        <v>0</v>
      </c>
      <c r="P133" s="3">
        <v>71.401929999999993</v>
      </c>
      <c r="Q133" s="3">
        <v>0</v>
      </c>
      <c r="R133" s="3">
        <v>8.5</v>
      </c>
      <c r="S133" s="3">
        <v>497.25753611613914</v>
      </c>
    </row>
    <row r="134" spans="1:19" x14ac:dyDescent="0.25">
      <c r="A134" s="2" t="s">
        <v>306</v>
      </c>
      <c r="B134" s="3">
        <v>7780.6</v>
      </c>
      <c r="C134" s="3">
        <v>7484.9499999999962</v>
      </c>
      <c r="D134" s="3">
        <v>8086.9599999999982</v>
      </c>
      <c r="E134" s="3">
        <v>7139.1799999999967</v>
      </c>
      <c r="F134" s="3">
        <v>6725.5300000000034</v>
      </c>
      <c r="G134" s="3">
        <v>7219.62</v>
      </c>
      <c r="H134" s="3">
        <v>0</v>
      </c>
      <c r="I134" s="3">
        <v>713.09999999999968</v>
      </c>
      <c r="J134" s="3">
        <v>777.4</v>
      </c>
      <c r="K134" s="3">
        <v>4556.234250597161</v>
      </c>
      <c r="L134" s="3">
        <v>1287</v>
      </c>
      <c r="M134" s="3">
        <v>7091.5992851257324</v>
      </c>
      <c r="N134" s="3">
        <v>294.08610155443665</v>
      </c>
      <c r="O134" s="3">
        <v>1279.0125479604831</v>
      </c>
      <c r="P134" s="3">
        <v>10888.583350999999</v>
      </c>
      <c r="Q134" s="3">
        <v>0</v>
      </c>
      <c r="R134" s="3">
        <v>2378.8000000000002</v>
      </c>
      <c r="S134" s="3">
        <v>73702.655536237799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ECB5C-E777-4C69-AF81-1F14F918C805}">
  <dimension ref="A1:T129"/>
  <sheetViews>
    <sheetView tabSelected="1" workbookViewId="0">
      <selection activeCell="E3" sqref="E3"/>
    </sheetView>
  </sheetViews>
  <sheetFormatPr defaultRowHeight="15" x14ac:dyDescent="0.25"/>
  <cols>
    <col min="3" max="19" width="19.28515625" customWidth="1"/>
  </cols>
  <sheetData>
    <row r="1" spans="1:20" s="5" customFormat="1" ht="128.25" customHeight="1" x14ac:dyDescent="0.25">
      <c r="A1" s="5" t="s">
        <v>305</v>
      </c>
      <c r="B1" s="5" t="s">
        <v>309</v>
      </c>
      <c r="C1" s="5" t="s">
        <v>11</v>
      </c>
      <c r="D1" s="5" t="s">
        <v>14</v>
      </c>
      <c r="E1" s="5" t="s">
        <v>16</v>
      </c>
      <c r="F1" s="5" t="s">
        <v>18</v>
      </c>
      <c r="G1" s="5" t="s">
        <v>22</v>
      </c>
      <c r="H1" s="5" t="s">
        <v>20</v>
      </c>
      <c r="I1" s="5" t="s">
        <v>24</v>
      </c>
      <c r="J1" s="5" t="s">
        <v>26</v>
      </c>
      <c r="K1" s="5" t="s">
        <v>28</v>
      </c>
      <c r="L1" s="5" t="s">
        <v>30</v>
      </c>
      <c r="M1" s="5" t="s">
        <v>32</v>
      </c>
      <c r="N1" s="5" t="s">
        <v>34</v>
      </c>
      <c r="O1" s="5" t="s">
        <v>38</v>
      </c>
      <c r="P1" s="5" t="s">
        <v>36</v>
      </c>
      <c r="Q1" s="5" t="s">
        <v>40</v>
      </c>
      <c r="R1" s="5" t="s">
        <v>42</v>
      </c>
      <c r="S1" s="5" t="s">
        <v>44</v>
      </c>
      <c r="T1" s="5" t="s">
        <v>306</v>
      </c>
    </row>
    <row r="2" spans="1:20" x14ac:dyDescent="0.25">
      <c r="A2" t="s">
        <v>186</v>
      </c>
      <c r="B2">
        <f>VLOOKUP(A2,'Bank Z Score'!$C$12:$P$226,14,FALSE)</f>
        <v>51.668309999999998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</v>
      </c>
      <c r="L2">
        <v>0</v>
      </c>
      <c r="M2">
        <v>12</v>
      </c>
      <c r="N2">
        <v>97.619049072265597</v>
      </c>
      <c r="O2">
        <v>0</v>
      </c>
      <c r="P2">
        <v>0</v>
      </c>
      <c r="Q2">
        <v>92.554040999999998</v>
      </c>
      <c r="R2">
        <v>0</v>
      </c>
      <c r="S2">
        <v>16.5</v>
      </c>
      <c r="T2">
        <v>224.67309007226561</v>
      </c>
    </row>
    <row r="3" spans="1:20" x14ac:dyDescent="0.25">
      <c r="A3" t="s">
        <v>162</v>
      </c>
      <c r="B3">
        <f>VLOOKUP(A3,'Bank Z Score'!$C$12:$P$226,14,FALSE)</f>
        <v>50.105640000000001</v>
      </c>
      <c r="C3">
        <v>47.12</v>
      </c>
      <c r="D3">
        <v>34.06</v>
      </c>
      <c r="E3">
        <v>58.6</v>
      </c>
      <c r="F3">
        <v>37.01</v>
      </c>
      <c r="G3">
        <v>38.71</v>
      </c>
      <c r="H3">
        <v>28.69</v>
      </c>
      <c r="I3">
        <v>0</v>
      </c>
      <c r="J3">
        <v>2.5</v>
      </c>
      <c r="K3">
        <v>4</v>
      </c>
      <c r="L3">
        <v>100.908283146258</v>
      </c>
      <c r="M3">
        <v>10</v>
      </c>
      <c r="N3">
        <v>58.5714302062988</v>
      </c>
      <c r="O3">
        <v>0</v>
      </c>
      <c r="P3">
        <v>0</v>
      </c>
      <c r="Q3">
        <v>89.132171999999997</v>
      </c>
      <c r="R3">
        <v>0</v>
      </c>
      <c r="S3">
        <v>12.5</v>
      </c>
      <c r="T3">
        <v>521.80188535255672</v>
      </c>
    </row>
    <row r="4" spans="1:20" x14ac:dyDescent="0.25">
      <c r="A4" t="s">
        <v>218</v>
      </c>
      <c r="B4">
        <f>VLOOKUP(A4,'Bank Z Score'!$C$12:$P$226,14,FALSE)</f>
        <v>44.78266</v>
      </c>
      <c r="C4">
        <v>98.75</v>
      </c>
      <c r="D4">
        <v>99.24</v>
      </c>
      <c r="E4">
        <v>98.23</v>
      </c>
      <c r="F4">
        <v>96.87</v>
      </c>
      <c r="G4">
        <v>96.53</v>
      </c>
      <c r="H4">
        <v>94.46</v>
      </c>
      <c r="I4">
        <v>0</v>
      </c>
      <c r="J4">
        <v>4</v>
      </c>
      <c r="K4">
        <v>10</v>
      </c>
      <c r="L4">
        <v>54.566672234442798</v>
      </c>
      <c r="M4">
        <v>10</v>
      </c>
      <c r="N4">
        <v>100</v>
      </c>
      <c r="O4">
        <v>0</v>
      </c>
      <c r="P4">
        <v>0</v>
      </c>
      <c r="Q4">
        <v>92.227997999999999</v>
      </c>
      <c r="R4">
        <v>0</v>
      </c>
      <c r="S4">
        <v>0.5</v>
      </c>
      <c r="T4">
        <v>855.37467023444276</v>
      </c>
    </row>
    <row r="5" spans="1:20" x14ac:dyDescent="0.25">
      <c r="A5" t="s">
        <v>206</v>
      </c>
      <c r="B5">
        <f>VLOOKUP(A5,'Bank Z Score'!$C$12:$P$226,14,FALSE)</f>
        <v>42.40052</v>
      </c>
      <c r="C5">
        <v>44.37</v>
      </c>
      <c r="D5">
        <v>32.700000000000003</v>
      </c>
      <c r="E5">
        <v>55.97</v>
      </c>
      <c r="F5">
        <v>33.93</v>
      </c>
      <c r="G5">
        <v>36.909999999999997</v>
      </c>
      <c r="H5">
        <v>35.9</v>
      </c>
      <c r="I5">
        <v>0</v>
      </c>
      <c r="J5">
        <v>29.6</v>
      </c>
      <c r="K5">
        <v>9</v>
      </c>
      <c r="L5">
        <v>0</v>
      </c>
      <c r="M5">
        <v>9</v>
      </c>
      <c r="N5">
        <v>41.4285697937012</v>
      </c>
      <c r="O5">
        <v>0</v>
      </c>
      <c r="P5">
        <v>0</v>
      </c>
      <c r="Q5">
        <v>86.611350999999999</v>
      </c>
      <c r="R5">
        <v>0</v>
      </c>
      <c r="S5">
        <v>9</v>
      </c>
      <c r="T5">
        <v>424.41992079370118</v>
      </c>
    </row>
    <row r="6" spans="1:20" x14ac:dyDescent="0.25">
      <c r="A6" t="s">
        <v>232</v>
      </c>
      <c r="B6">
        <f>VLOOKUP(A6,'Bank Z Score'!$C$12:$P$226,14,FALSE)</f>
        <v>40.393259999999998</v>
      </c>
      <c r="C6">
        <v>44.97</v>
      </c>
      <c r="D6">
        <v>43.11</v>
      </c>
      <c r="E6">
        <v>46.95</v>
      </c>
      <c r="F6">
        <v>32.409999999999997</v>
      </c>
      <c r="G6">
        <v>31.22</v>
      </c>
      <c r="H6">
        <v>40.42</v>
      </c>
      <c r="I6">
        <v>0</v>
      </c>
      <c r="J6">
        <v>0</v>
      </c>
      <c r="K6">
        <v>4</v>
      </c>
      <c r="L6">
        <v>0</v>
      </c>
      <c r="M6">
        <v>11</v>
      </c>
      <c r="N6">
        <v>30.476190567016602</v>
      </c>
      <c r="O6">
        <v>5.7626013866884804</v>
      </c>
      <c r="P6">
        <v>66.144764134429806</v>
      </c>
      <c r="Q6">
        <v>88.722151999999994</v>
      </c>
      <c r="R6">
        <v>0</v>
      </c>
      <c r="S6">
        <v>6</v>
      </c>
      <c r="T6">
        <v>451.18570808813485</v>
      </c>
    </row>
    <row r="7" spans="1:20" x14ac:dyDescent="0.25">
      <c r="A7" t="s">
        <v>270</v>
      </c>
      <c r="B7">
        <f>VLOOKUP(A7,'Bank Z Score'!$C$12:$P$226,14,FALSE)</f>
        <v>39.347830000000002</v>
      </c>
      <c r="C7">
        <v>99.69</v>
      </c>
      <c r="D7">
        <v>100</v>
      </c>
      <c r="E7">
        <v>99.39</v>
      </c>
      <c r="F7">
        <v>99.22</v>
      </c>
      <c r="G7">
        <v>100</v>
      </c>
      <c r="H7">
        <v>100</v>
      </c>
      <c r="I7">
        <v>0</v>
      </c>
      <c r="J7">
        <v>0</v>
      </c>
      <c r="K7">
        <v>8</v>
      </c>
      <c r="L7">
        <v>44.178006754859297</v>
      </c>
      <c r="M7">
        <v>10</v>
      </c>
      <c r="N7">
        <v>98.095237731933594</v>
      </c>
      <c r="O7">
        <v>0</v>
      </c>
      <c r="P7">
        <v>0</v>
      </c>
      <c r="Q7">
        <v>93.968680000000006</v>
      </c>
      <c r="R7">
        <v>0</v>
      </c>
      <c r="S7">
        <v>7.5</v>
      </c>
      <c r="T7">
        <v>860.04192448679282</v>
      </c>
    </row>
    <row r="8" spans="1:20" x14ac:dyDescent="0.25">
      <c r="A8" t="s">
        <v>282</v>
      </c>
      <c r="B8">
        <f>VLOOKUP(A8,'Bank Z Score'!$C$12:$P$226,14,FALSE)</f>
        <v>38.681489999999997</v>
      </c>
      <c r="C8">
        <v>36.85</v>
      </c>
      <c r="D8">
        <v>28.75</v>
      </c>
      <c r="E8">
        <v>45.14</v>
      </c>
      <c r="F8">
        <v>32.020000000000003</v>
      </c>
      <c r="G8">
        <v>29.26</v>
      </c>
      <c r="H8">
        <v>24.34</v>
      </c>
      <c r="I8">
        <v>0</v>
      </c>
      <c r="J8">
        <v>11.9</v>
      </c>
      <c r="K8">
        <v>6</v>
      </c>
      <c r="L8">
        <v>0</v>
      </c>
      <c r="M8">
        <v>9</v>
      </c>
      <c r="N8">
        <v>50.952381134033203</v>
      </c>
      <c r="O8">
        <v>0</v>
      </c>
      <c r="P8">
        <v>0</v>
      </c>
      <c r="Q8">
        <v>89.196151999999998</v>
      </c>
      <c r="R8">
        <v>0</v>
      </c>
      <c r="S8">
        <v>9</v>
      </c>
      <c r="T8">
        <v>372.40853313403318</v>
      </c>
    </row>
    <row r="9" spans="1:20" x14ac:dyDescent="0.25">
      <c r="A9" t="s">
        <v>150</v>
      </c>
      <c r="B9">
        <f>VLOOKUP(A9,'Bank Z Score'!$C$12:$P$226,14,FALSE)</f>
        <v>37.250050000000002</v>
      </c>
      <c r="C9">
        <v>18.57</v>
      </c>
      <c r="D9">
        <v>14.89</v>
      </c>
      <c r="E9">
        <v>22.21</v>
      </c>
      <c r="F9">
        <v>14.43</v>
      </c>
      <c r="G9">
        <v>15.48</v>
      </c>
      <c r="H9">
        <v>12.49</v>
      </c>
      <c r="I9">
        <v>0</v>
      </c>
      <c r="J9">
        <v>50.5</v>
      </c>
      <c r="K9">
        <v>4</v>
      </c>
      <c r="L9">
        <v>0</v>
      </c>
      <c r="M9">
        <v>6</v>
      </c>
      <c r="N9">
        <v>10.8490562438965</v>
      </c>
      <c r="O9">
        <v>0</v>
      </c>
      <c r="P9">
        <v>0</v>
      </c>
      <c r="Q9">
        <v>81.023533999999998</v>
      </c>
      <c r="R9">
        <v>0</v>
      </c>
      <c r="S9">
        <v>26.5</v>
      </c>
      <c r="T9">
        <v>276.94259024389652</v>
      </c>
    </row>
    <row r="10" spans="1:20" x14ac:dyDescent="0.25">
      <c r="A10" t="s">
        <v>202</v>
      </c>
      <c r="B10">
        <f>VLOOKUP(A10,'Bank Z Score'!$C$12:$P$226,14,FALSE)</f>
        <v>36.25018</v>
      </c>
      <c r="C10">
        <v>98.46</v>
      </c>
      <c r="D10">
        <v>98.97</v>
      </c>
      <c r="E10">
        <v>97.89</v>
      </c>
      <c r="F10">
        <v>98.29</v>
      </c>
      <c r="G10">
        <v>96.53</v>
      </c>
      <c r="H10">
        <v>95.45</v>
      </c>
      <c r="I10">
        <v>0</v>
      </c>
      <c r="J10">
        <v>24.7</v>
      </c>
      <c r="K10">
        <v>6</v>
      </c>
      <c r="L10">
        <v>73.936783515285796</v>
      </c>
      <c r="M10">
        <v>12</v>
      </c>
      <c r="N10">
        <v>37.142856597900398</v>
      </c>
      <c r="O10">
        <v>0</v>
      </c>
      <c r="P10">
        <v>0</v>
      </c>
      <c r="Q10">
        <v>83.016925000000001</v>
      </c>
      <c r="R10">
        <v>0</v>
      </c>
      <c r="S10">
        <v>12</v>
      </c>
      <c r="T10">
        <v>834.38656511318629</v>
      </c>
    </row>
    <row r="11" spans="1:20" x14ac:dyDescent="0.25">
      <c r="A11" t="s">
        <v>266</v>
      </c>
      <c r="B11">
        <f>VLOOKUP(A11,'Bank Z Score'!$C$12:$P$226,14,FALSE)</f>
        <v>35.086179999999999</v>
      </c>
      <c r="C11">
        <v>89.27</v>
      </c>
      <c r="D11">
        <v>89.28</v>
      </c>
      <c r="E11">
        <v>89.26</v>
      </c>
      <c r="F11">
        <v>87.08</v>
      </c>
      <c r="G11">
        <v>76.930000000000007</v>
      </c>
      <c r="H11">
        <v>86.4</v>
      </c>
      <c r="I11">
        <v>0</v>
      </c>
      <c r="J11">
        <v>0</v>
      </c>
      <c r="K11">
        <v>8</v>
      </c>
      <c r="L11">
        <v>0</v>
      </c>
      <c r="M11">
        <v>11</v>
      </c>
      <c r="N11">
        <v>44.285713195800803</v>
      </c>
      <c r="O11">
        <v>2.8901918730262199</v>
      </c>
      <c r="P11">
        <v>29.985752283944901</v>
      </c>
      <c r="Q11">
        <v>90.438481999999993</v>
      </c>
      <c r="R11">
        <v>0</v>
      </c>
      <c r="S11">
        <v>8</v>
      </c>
      <c r="T11">
        <v>712.82013935277189</v>
      </c>
    </row>
    <row r="12" spans="1:20" x14ac:dyDescent="0.25">
      <c r="A12" t="s">
        <v>118</v>
      </c>
      <c r="B12">
        <f>VLOOKUP(A12,'Bank Z Score'!$C$12:$P$226,14,FALSE)</f>
        <v>33.012059999999998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0</v>
      </c>
      <c r="M12">
        <v>0</v>
      </c>
      <c r="N12">
        <v>74.761901855468807</v>
      </c>
      <c r="O12">
        <v>0</v>
      </c>
      <c r="P12">
        <v>0</v>
      </c>
      <c r="Q12">
        <v>69.209863999999996</v>
      </c>
      <c r="R12">
        <v>0</v>
      </c>
      <c r="S12">
        <v>40</v>
      </c>
      <c r="T12">
        <v>185.97176585546879</v>
      </c>
    </row>
    <row r="13" spans="1:20" x14ac:dyDescent="0.25">
      <c r="A13" t="s">
        <v>108</v>
      </c>
      <c r="B13">
        <f>VLOOKUP(A13,'Bank Z Score'!$C$12:$P$226,14,FALSE)</f>
        <v>32.583950000000002</v>
      </c>
      <c r="C13">
        <v>51.3</v>
      </c>
      <c r="D13">
        <v>48.96</v>
      </c>
      <c r="E13">
        <v>53.7</v>
      </c>
      <c r="F13">
        <v>38.880000000000003</v>
      </c>
      <c r="G13">
        <v>39.369999999999997</v>
      </c>
      <c r="H13">
        <v>31.16</v>
      </c>
      <c r="I13">
        <v>0</v>
      </c>
      <c r="J13">
        <v>0</v>
      </c>
      <c r="K13">
        <v>5</v>
      </c>
      <c r="L13">
        <v>0</v>
      </c>
      <c r="M13">
        <v>15</v>
      </c>
      <c r="N13">
        <v>37.735847473144503</v>
      </c>
      <c r="O13">
        <v>1.75393802260007</v>
      </c>
      <c r="P13">
        <v>45.528247415436503</v>
      </c>
      <c r="Q13">
        <v>84.390127000000007</v>
      </c>
      <c r="R13">
        <v>0</v>
      </c>
      <c r="S13">
        <v>16.5</v>
      </c>
      <c r="T13">
        <v>469.27815991118115</v>
      </c>
    </row>
    <row r="14" spans="1:20" x14ac:dyDescent="0.25">
      <c r="A14" t="s">
        <v>292</v>
      </c>
      <c r="B14">
        <f>VLOOKUP(A14,'Bank Z Score'!$C$12:$P$226,14,FALSE)</f>
        <v>31.06195</v>
      </c>
      <c r="C14">
        <v>94.95</v>
      </c>
      <c r="D14">
        <v>96.79</v>
      </c>
      <c r="E14">
        <v>93.09</v>
      </c>
      <c r="F14">
        <v>91.25</v>
      </c>
      <c r="G14">
        <v>57.72</v>
      </c>
      <c r="H14">
        <v>93.8</v>
      </c>
      <c r="I14">
        <v>0</v>
      </c>
      <c r="J14">
        <v>0</v>
      </c>
      <c r="K14">
        <v>7.4</v>
      </c>
      <c r="L14">
        <v>124.550890800621</v>
      </c>
      <c r="M14">
        <v>12</v>
      </c>
      <c r="N14">
        <v>87.619049072265597</v>
      </c>
      <c r="O14">
        <v>0</v>
      </c>
      <c r="P14">
        <v>0</v>
      </c>
      <c r="Q14">
        <v>87.818218999999999</v>
      </c>
      <c r="R14">
        <v>0</v>
      </c>
      <c r="S14">
        <v>4.2</v>
      </c>
      <c r="T14">
        <v>851.18815887288667</v>
      </c>
    </row>
    <row r="15" spans="1:20" x14ac:dyDescent="0.25">
      <c r="A15" t="s">
        <v>58</v>
      </c>
      <c r="B15">
        <f>VLOOKUP(A15,'Bank Z Score'!$C$12:$P$226,14,FALSE)</f>
        <v>30.90653</v>
      </c>
      <c r="C15">
        <v>99.95</v>
      </c>
      <c r="D15">
        <v>100</v>
      </c>
      <c r="E15">
        <v>99.9</v>
      </c>
      <c r="F15">
        <v>100</v>
      </c>
      <c r="G15">
        <v>100</v>
      </c>
      <c r="H15">
        <v>100</v>
      </c>
      <c r="I15">
        <v>0</v>
      </c>
      <c r="J15">
        <v>1.3</v>
      </c>
      <c r="K15">
        <v>5</v>
      </c>
      <c r="L15">
        <v>100.056789599418</v>
      </c>
      <c r="M15">
        <v>13</v>
      </c>
      <c r="N15">
        <v>90.952377319335895</v>
      </c>
      <c r="O15">
        <v>0</v>
      </c>
      <c r="P15">
        <v>0</v>
      </c>
      <c r="Q15">
        <v>93.266368</v>
      </c>
      <c r="R15">
        <v>0</v>
      </c>
      <c r="S15">
        <v>21</v>
      </c>
      <c r="T15">
        <v>924.42553491875401</v>
      </c>
    </row>
    <row r="16" spans="1:20" x14ac:dyDescent="0.25">
      <c r="A16" t="s">
        <v>132</v>
      </c>
      <c r="B16">
        <f>VLOOKUP(A16,'Bank Z Score'!$C$12:$P$226,14,FALSE)</f>
        <v>30.716059999999999</v>
      </c>
      <c r="C16">
        <v>36.979999999999997</v>
      </c>
      <c r="D16">
        <v>34.35</v>
      </c>
      <c r="E16">
        <v>39.93</v>
      </c>
      <c r="F16">
        <v>33.869999999999997</v>
      </c>
      <c r="G16">
        <v>29.04</v>
      </c>
      <c r="H16">
        <v>38.18</v>
      </c>
      <c r="I16">
        <v>0</v>
      </c>
      <c r="J16">
        <v>0</v>
      </c>
      <c r="K16">
        <v>3</v>
      </c>
      <c r="L16">
        <v>0</v>
      </c>
      <c r="M16">
        <v>16</v>
      </c>
      <c r="N16">
        <v>18.571428298950199</v>
      </c>
      <c r="O16">
        <v>0</v>
      </c>
      <c r="P16">
        <v>0</v>
      </c>
      <c r="Q16">
        <v>78.985461000000001</v>
      </c>
      <c r="R16">
        <v>0</v>
      </c>
      <c r="S16">
        <v>15</v>
      </c>
      <c r="T16">
        <v>343.9068892989502</v>
      </c>
    </row>
    <row r="17" spans="1:20" x14ac:dyDescent="0.25">
      <c r="A17" t="s">
        <v>154</v>
      </c>
      <c r="B17">
        <f>VLOOKUP(A17,'Bank Z Score'!$C$12:$P$226,14,FALSE)</f>
        <v>29.302720000000001</v>
      </c>
      <c r="C17">
        <v>92.93</v>
      </c>
      <c r="D17">
        <v>91.93</v>
      </c>
      <c r="E17">
        <v>93.97</v>
      </c>
      <c r="F17">
        <v>89.02</v>
      </c>
      <c r="G17">
        <v>62.76</v>
      </c>
      <c r="H17">
        <v>71.05</v>
      </c>
      <c r="I17">
        <v>0</v>
      </c>
      <c r="J17">
        <v>0</v>
      </c>
      <c r="K17">
        <v>7</v>
      </c>
      <c r="L17">
        <v>0</v>
      </c>
      <c r="M17">
        <v>15</v>
      </c>
      <c r="N17">
        <v>80</v>
      </c>
      <c r="O17">
        <v>0</v>
      </c>
      <c r="P17">
        <v>0</v>
      </c>
      <c r="Q17">
        <v>93.913788999999994</v>
      </c>
      <c r="R17">
        <v>0</v>
      </c>
      <c r="S17">
        <v>11</v>
      </c>
      <c r="T17">
        <v>708.57378900000003</v>
      </c>
    </row>
    <row r="18" spans="1:20" x14ac:dyDescent="0.25">
      <c r="A18" t="s">
        <v>214</v>
      </c>
      <c r="B18">
        <f>VLOOKUP(A18,'Bank Z Score'!$C$12:$P$226,14,FALSE)</f>
        <v>28.871130000000001</v>
      </c>
      <c r="C18">
        <v>54</v>
      </c>
      <c r="D18">
        <v>49.9</v>
      </c>
      <c r="E18">
        <v>58.61</v>
      </c>
      <c r="F18">
        <v>44.55</v>
      </c>
      <c r="G18">
        <v>51</v>
      </c>
      <c r="H18">
        <v>42.23</v>
      </c>
      <c r="I18">
        <v>0</v>
      </c>
      <c r="J18">
        <v>6.2</v>
      </c>
      <c r="K18">
        <v>6</v>
      </c>
      <c r="L18">
        <v>39.9222686422289</v>
      </c>
      <c r="M18">
        <v>9</v>
      </c>
      <c r="N18">
        <v>33.962265014648402</v>
      </c>
      <c r="O18">
        <v>0</v>
      </c>
      <c r="P18">
        <v>0</v>
      </c>
      <c r="Q18">
        <v>76.872815000000003</v>
      </c>
      <c r="R18">
        <v>0</v>
      </c>
      <c r="S18">
        <v>22.5</v>
      </c>
      <c r="T18">
        <v>494.74734865687731</v>
      </c>
    </row>
    <row r="19" spans="1:20" x14ac:dyDescent="0.25">
      <c r="A19" t="s">
        <v>256</v>
      </c>
      <c r="B19">
        <f>VLOOKUP(A19,'Bank Z Score'!$C$12:$P$226,14,FALSE)</f>
        <v>28.628150000000002</v>
      </c>
      <c r="C19">
        <v>97.55</v>
      </c>
      <c r="D19">
        <v>96.87</v>
      </c>
      <c r="E19">
        <v>98.27</v>
      </c>
      <c r="F19">
        <v>95.55</v>
      </c>
      <c r="G19">
        <v>92.44</v>
      </c>
      <c r="H19">
        <v>94.36</v>
      </c>
      <c r="I19">
        <v>0</v>
      </c>
      <c r="J19">
        <v>0.6</v>
      </c>
      <c r="K19">
        <v>10</v>
      </c>
      <c r="L19">
        <v>151.56632474280801</v>
      </c>
      <c r="M19">
        <v>6</v>
      </c>
      <c r="N19">
        <v>99.047622680664105</v>
      </c>
      <c r="O19">
        <v>0</v>
      </c>
      <c r="P19">
        <v>0</v>
      </c>
      <c r="Q19">
        <v>94.291038999999998</v>
      </c>
      <c r="R19">
        <v>0</v>
      </c>
      <c r="S19">
        <v>1.5</v>
      </c>
      <c r="T19">
        <v>938.04498642347198</v>
      </c>
    </row>
    <row r="20" spans="1:20" x14ac:dyDescent="0.25">
      <c r="A20" t="s">
        <v>138</v>
      </c>
      <c r="B20">
        <f>VLOOKUP(A20,'Bank Z Score'!$C$12:$P$226,14,FALSE)</f>
        <v>28.601430000000001</v>
      </c>
      <c r="C20">
        <v>37.85</v>
      </c>
      <c r="D20">
        <v>28.85</v>
      </c>
      <c r="E20">
        <v>48.56</v>
      </c>
      <c r="F20">
        <v>26.97</v>
      </c>
      <c r="G20">
        <v>31.83</v>
      </c>
      <c r="H20">
        <v>36.1</v>
      </c>
      <c r="I20">
        <v>0</v>
      </c>
      <c r="J20">
        <v>0</v>
      </c>
      <c r="K20">
        <v>3</v>
      </c>
      <c r="L20">
        <v>0</v>
      </c>
      <c r="M20">
        <v>12</v>
      </c>
      <c r="N20">
        <v>21.428571701049801</v>
      </c>
      <c r="O20">
        <v>0.202738011804246</v>
      </c>
      <c r="P20">
        <v>11.197468643693799</v>
      </c>
      <c r="Q20">
        <v>82.010129000000006</v>
      </c>
      <c r="R20">
        <v>0</v>
      </c>
      <c r="S20">
        <v>42</v>
      </c>
      <c r="T20">
        <v>381.99890735654787</v>
      </c>
    </row>
    <row r="21" spans="1:20" x14ac:dyDescent="0.25">
      <c r="A21" t="s">
        <v>88</v>
      </c>
      <c r="B21">
        <f>VLOOKUP(A21,'Bank Z Score'!$C$12:$P$226,14,FALSE)</f>
        <v>27.08953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10</v>
      </c>
      <c r="N21">
        <v>82.380950927734403</v>
      </c>
      <c r="O21">
        <v>0</v>
      </c>
      <c r="P21">
        <v>0</v>
      </c>
      <c r="Q21">
        <v>89.803916999999998</v>
      </c>
      <c r="R21">
        <v>0</v>
      </c>
      <c r="S21">
        <v>9</v>
      </c>
      <c r="T21">
        <v>192.18486792773439</v>
      </c>
    </row>
    <row r="22" spans="1:20" x14ac:dyDescent="0.25">
      <c r="A22" t="s">
        <v>90</v>
      </c>
      <c r="B22">
        <f>VLOOKUP(A22,'Bank Z Score'!$C$12:$P$226,14,FALSE)</f>
        <v>26.771470000000001</v>
      </c>
      <c r="C22">
        <v>33.39</v>
      </c>
      <c r="D22">
        <v>32.520000000000003</v>
      </c>
      <c r="E22">
        <v>34.409999999999997</v>
      </c>
      <c r="F22">
        <v>23.35</v>
      </c>
      <c r="G22">
        <v>28.77</v>
      </c>
      <c r="H22">
        <v>27.65</v>
      </c>
      <c r="I22">
        <v>0</v>
      </c>
      <c r="J22">
        <v>27.1</v>
      </c>
      <c r="K22">
        <v>6</v>
      </c>
      <c r="L22">
        <v>0</v>
      </c>
      <c r="M22">
        <v>0</v>
      </c>
      <c r="N22">
        <v>11.428571701049799</v>
      </c>
      <c r="O22">
        <v>0</v>
      </c>
      <c r="P22">
        <v>0</v>
      </c>
      <c r="Q22">
        <v>78.957722000000004</v>
      </c>
      <c r="R22">
        <v>0</v>
      </c>
      <c r="S22">
        <v>99</v>
      </c>
      <c r="T22">
        <v>402.57629370104979</v>
      </c>
    </row>
    <row r="23" spans="1:20" x14ac:dyDescent="0.25">
      <c r="A23" t="s">
        <v>48</v>
      </c>
      <c r="B23">
        <f>VLOOKUP(A23,'Bank Z Score'!$C$12:$P$226,14,FALSE)</f>
        <v>26.424710000000001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0</v>
      </c>
      <c r="J23">
        <v>3.4</v>
      </c>
      <c r="K23">
        <v>7</v>
      </c>
      <c r="L23">
        <v>0</v>
      </c>
      <c r="M23">
        <v>10</v>
      </c>
      <c r="N23">
        <v>100</v>
      </c>
      <c r="O23">
        <v>0</v>
      </c>
      <c r="P23">
        <v>0</v>
      </c>
      <c r="Q23">
        <v>92.531153000000003</v>
      </c>
      <c r="R23">
        <v>0</v>
      </c>
      <c r="S23">
        <v>3.5</v>
      </c>
      <c r="T23">
        <v>816.43115299999999</v>
      </c>
    </row>
    <row r="24" spans="1:20" x14ac:dyDescent="0.25">
      <c r="A24" t="s">
        <v>134</v>
      </c>
      <c r="B24">
        <f>VLOOKUP(A24,'Bank Z Score'!$C$12:$P$226,14,FALSE)</f>
        <v>26.121949999999998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5</v>
      </c>
      <c r="L24">
        <v>0</v>
      </c>
      <c r="M24">
        <v>6</v>
      </c>
      <c r="N24">
        <v>50.476188659667997</v>
      </c>
      <c r="O24">
        <v>0</v>
      </c>
      <c r="P24">
        <v>0</v>
      </c>
      <c r="Q24">
        <v>76.721147999999999</v>
      </c>
      <c r="R24">
        <v>0</v>
      </c>
      <c r="S24">
        <v>18</v>
      </c>
      <c r="T24">
        <v>156.197336659668</v>
      </c>
    </row>
    <row r="25" spans="1:20" x14ac:dyDescent="0.25">
      <c r="A25" t="s">
        <v>220</v>
      </c>
      <c r="B25">
        <f>VLOOKUP(A25,'Bank Z Score'!$C$12:$P$226,14,FALSE)</f>
        <v>25.132639999999999</v>
      </c>
      <c r="C25">
        <v>26.03</v>
      </c>
      <c r="D25">
        <v>21.57</v>
      </c>
      <c r="E25">
        <v>30.94</v>
      </c>
      <c r="F25">
        <v>21.36</v>
      </c>
      <c r="G25">
        <v>18.14</v>
      </c>
      <c r="H25">
        <v>29.56</v>
      </c>
      <c r="I25">
        <v>0</v>
      </c>
      <c r="J25">
        <v>0</v>
      </c>
      <c r="K25">
        <v>1</v>
      </c>
      <c r="L25">
        <v>0</v>
      </c>
      <c r="M25">
        <v>7</v>
      </c>
      <c r="N25">
        <v>15.714285850524901</v>
      </c>
      <c r="O25">
        <v>0</v>
      </c>
      <c r="P25">
        <v>0</v>
      </c>
      <c r="Q25">
        <v>83.875855999999999</v>
      </c>
      <c r="R25">
        <v>0</v>
      </c>
      <c r="S25">
        <v>14</v>
      </c>
      <c r="T25">
        <v>269.19014185052492</v>
      </c>
    </row>
    <row r="26" spans="1:20" x14ac:dyDescent="0.25">
      <c r="A26" t="s">
        <v>96</v>
      </c>
      <c r="B26">
        <f>VLOOKUP(A26,'Bank Z Score'!$C$12:$P$226,14,FALSE)</f>
        <v>25.017969999999998</v>
      </c>
      <c r="C26">
        <v>88.71</v>
      </c>
      <c r="D26">
        <v>87.34</v>
      </c>
      <c r="E26">
        <v>89.92</v>
      </c>
      <c r="F26">
        <v>83.08</v>
      </c>
      <c r="G26">
        <v>83.02</v>
      </c>
      <c r="H26">
        <v>88.47</v>
      </c>
      <c r="I26">
        <v>0</v>
      </c>
      <c r="J26">
        <v>0</v>
      </c>
      <c r="K26">
        <v>10</v>
      </c>
      <c r="L26">
        <v>0</v>
      </c>
      <c r="M26">
        <v>9</v>
      </c>
      <c r="N26">
        <v>56.190475463867202</v>
      </c>
      <c r="O26">
        <v>0</v>
      </c>
      <c r="P26">
        <v>0</v>
      </c>
      <c r="Q26">
        <v>90.559517</v>
      </c>
      <c r="R26">
        <v>0</v>
      </c>
      <c r="S26">
        <v>8.6</v>
      </c>
      <c r="T26">
        <v>694.8899924638672</v>
      </c>
    </row>
    <row r="27" spans="1:20" x14ac:dyDescent="0.25">
      <c r="A27" t="s">
        <v>9</v>
      </c>
      <c r="B27">
        <f>VLOOKUP(A27,'Bank Z Score'!$C$12:$P$226,14,FALSE)</f>
        <v>24.915610000000001</v>
      </c>
      <c r="C27">
        <v>9.65</v>
      </c>
      <c r="D27">
        <v>4.7</v>
      </c>
      <c r="E27">
        <v>14.79</v>
      </c>
      <c r="F27">
        <v>5.86</v>
      </c>
      <c r="G27">
        <v>5.18</v>
      </c>
      <c r="H27">
        <v>7.55</v>
      </c>
      <c r="I27">
        <v>0</v>
      </c>
      <c r="J27">
        <v>0</v>
      </c>
      <c r="K27">
        <v>8</v>
      </c>
      <c r="L27">
        <v>0</v>
      </c>
      <c r="M27">
        <v>9</v>
      </c>
      <c r="N27">
        <v>13.6792449951172</v>
      </c>
      <c r="O27">
        <v>0</v>
      </c>
      <c r="P27">
        <v>0</v>
      </c>
      <c r="Q27">
        <v>69.906777000000005</v>
      </c>
      <c r="R27">
        <v>0</v>
      </c>
      <c r="S27">
        <v>8.5</v>
      </c>
      <c r="T27">
        <v>156.81602199511718</v>
      </c>
    </row>
    <row r="28" spans="1:20" x14ac:dyDescent="0.25">
      <c r="A28" t="s">
        <v>252</v>
      </c>
      <c r="B28">
        <f>VLOOKUP(A28,'Bank Z Score'!$C$12:$P$226,14,FALSE)</f>
        <v>24.370539999999998</v>
      </c>
      <c r="C28">
        <v>74.319999999999993</v>
      </c>
      <c r="D28">
        <v>63.49</v>
      </c>
      <c r="E28">
        <v>81.67</v>
      </c>
      <c r="F28">
        <v>66.61</v>
      </c>
      <c r="G28">
        <v>76.8</v>
      </c>
      <c r="H28">
        <v>70.52</v>
      </c>
      <c r="I28">
        <v>0</v>
      </c>
      <c r="J28">
        <v>4.5</v>
      </c>
      <c r="K28">
        <v>9</v>
      </c>
      <c r="L28">
        <v>0</v>
      </c>
      <c r="M28">
        <v>9</v>
      </c>
      <c r="N28">
        <v>66.509437561035199</v>
      </c>
      <c r="O28">
        <v>0</v>
      </c>
      <c r="P28">
        <v>0</v>
      </c>
      <c r="Q28">
        <v>89.393818999999993</v>
      </c>
      <c r="R28">
        <v>0</v>
      </c>
      <c r="S28">
        <v>10.4</v>
      </c>
      <c r="T28">
        <v>622.21325656103522</v>
      </c>
    </row>
    <row r="29" spans="1:20" x14ac:dyDescent="0.25">
      <c r="A29" t="s">
        <v>238</v>
      </c>
      <c r="B29">
        <f>VLOOKUP(A29,'Bank Z Score'!$C$12:$P$226,14,FALSE)</f>
        <v>24.133410000000001</v>
      </c>
      <c r="C29">
        <v>51.37</v>
      </c>
      <c r="D29">
        <v>47.42</v>
      </c>
      <c r="E29">
        <v>55.59</v>
      </c>
      <c r="F29">
        <v>33.99</v>
      </c>
      <c r="G29">
        <v>32.770000000000003</v>
      </c>
      <c r="H29">
        <v>40.17</v>
      </c>
      <c r="I29">
        <v>0</v>
      </c>
      <c r="J29">
        <v>8.3000000000000007</v>
      </c>
      <c r="K29">
        <v>9</v>
      </c>
      <c r="L29">
        <v>0</v>
      </c>
      <c r="M29">
        <v>13</v>
      </c>
      <c r="N29">
        <v>33.809524536132798</v>
      </c>
      <c r="O29">
        <v>0</v>
      </c>
      <c r="P29">
        <v>0</v>
      </c>
      <c r="Q29">
        <v>78.304129000000003</v>
      </c>
      <c r="R29">
        <v>0</v>
      </c>
      <c r="S29">
        <v>33</v>
      </c>
      <c r="T29">
        <v>436.72365353613282</v>
      </c>
    </row>
    <row r="30" spans="1:20" x14ac:dyDescent="0.25">
      <c r="A30" t="s">
        <v>198</v>
      </c>
      <c r="B30">
        <f>VLOOKUP(A30,'Bank Z Score'!$C$12:$P$226,14,FALSE)</f>
        <v>23.753419999999998</v>
      </c>
      <c r="C30">
        <v>48.97</v>
      </c>
      <c r="D30">
        <v>42.3</v>
      </c>
      <c r="E30">
        <v>56.27</v>
      </c>
      <c r="F30">
        <v>32.07</v>
      </c>
      <c r="G30">
        <v>31.79</v>
      </c>
      <c r="H30">
        <v>50.04</v>
      </c>
      <c r="I30">
        <v>0</v>
      </c>
      <c r="J30">
        <v>15.8</v>
      </c>
      <c r="K30">
        <v>8</v>
      </c>
      <c r="L30">
        <v>45.837346416921299</v>
      </c>
      <c r="M30">
        <v>14</v>
      </c>
      <c r="N30">
        <v>19.523809432983398</v>
      </c>
      <c r="O30">
        <v>5.2723608193918103</v>
      </c>
      <c r="P30">
        <v>37.545087375243703</v>
      </c>
      <c r="Q30">
        <v>83.960792999999995</v>
      </c>
      <c r="R30">
        <v>0</v>
      </c>
      <c r="S30">
        <v>8.4</v>
      </c>
      <c r="T30">
        <v>499.77939704454025</v>
      </c>
    </row>
    <row r="31" spans="1:20" x14ac:dyDescent="0.25">
      <c r="A31" t="s">
        <v>212</v>
      </c>
      <c r="B31">
        <f>VLOOKUP(A31,'Bank Z Score'!$C$12:$P$226,14,FALSE)</f>
        <v>23.721119999999999</v>
      </c>
      <c r="C31">
        <v>71.349999999999994</v>
      </c>
      <c r="D31">
        <v>69.31</v>
      </c>
      <c r="E31">
        <v>73.67</v>
      </c>
      <c r="F31">
        <v>56.38</v>
      </c>
      <c r="G31">
        <v>61.29</v>
      </c>
      <c r="H31">
        <v>55.61</v>
      </c>
      <c r="I31">
        <v>0</v>
      </c>
      <c r="J31">
        <v>0</v>
      </c>
      <c r="K31">
        <v>5</v>
      </c>
      <c r="L31">
        <v>0</v>
      </c>
      <c r="M31">
        <v>7</v>
      </c>
      <c r="N31">
        <v>62.857143402099602</v>
      </c>
      <c r="O31">
        <v>0</v>
      </c>
      <c r="P31">
        <v>0</v>
      </c>
      <c r="Q31">
        <v>65.976025000000007</v>
      </c>
      <c r="R31">
        <v>0</v>
      </c>
      <c r="S31">
        <v>54</v>
      </c>
      <c r="T31">
        <v>582.44316840209967</v>
      </c>
    </row>
    <row r="32" spans="1:20" x14ac:dyDescent="0.25">
      <c r="A32" t="s">
        <v>166</v>
      </c>
      <c r="B32">
        <f>VLOOKUP(A32,'Bank Z Score'!$C$12:$P$226,14,FALSE)</f>
        <v>23.23094</v>
      </c>
      <c r="C32">
        <v>79.2</v>
      </c>
      <c r="D32">
        <v>75.36</v>
      </c>
      <c r="E32">
        <v>83.24</v>
      </c>
      <c r="F32">
        <v>67.45</v>
      </c>
      <c r="G32">
        <v>61.02</v>
      </c>
      <c r="H32">
        <v>78.91</v>
      </c>
      <c r="I32">
        <v>0</v>
      </c>
      <c r="J32">
        <v>0</v>
      </c>
      <c r="K32">
        <v>10</v>
      </c>
      <c r="L32">
        <v>0</v>
      </c>
      <c r="M32">
        <v>12</v>
      </c>
      <c r="N32">
        <v>26.190475463867202</v>
      </c>
      <c r="O32">
        <v>0</v>
      </c>
      <c r="P32">
        <v>0</v>
      </c>
      <c r="Q32">
        <v>61.55462</v>
      </c>
      <c r="R32">
        <v>0</v>
      </c>
      <c r="S32">
        <v>23</v>
      </c>
      <c r="T32">
        <v>577.92509546386714</v>
      </c>
    </row>
    <row r="33" spans="1:20" x14ac:dyDescent="0.25">
      <c r="A33" t="s">
        <v>288</v>
      </c>
      <c r="B33">
        <f>VLOOKUP(A33,'Bank Z Score'!$C$12:$P$226,14,FALSE)</f>
        <v>22.288399999999999</v>
      </c>
      <c r="C33">
        <v>85.74</v>
      </c>
      <c r="D33">
        <v>86.68</v>
      </c>
      <c r="E33">
        <v>85.39</v>
      </c>
      <c r="F33">
        <v>83.4</v>
      </c>
      <c r="G33">
        <v>75.97</v>
      </c>
      <c r="H33">
        <v>79.430000000000007</v>
      </c>
      <c r="I33">
        <v>0</v>
      </c>
      <c r="J33">
        <v>0</v>
      </c>
      <c r="K33">
        <v>10</v>
      </c>
      <c r="L33">
        <v>0</v>
      </c>
      <c r="M33">
        <v>12</v>
      </c>
      <c r="N33">
        <v>83.490562438964801</v>
      </c>
      <c r="O33">
        <v>0</v>
      </c>
      <c r="P33">
        <v>0</v>
      </c>
      <c r="Q33">
        <v>95.993195999999998</v>
      </c>
      <c r="R33">
        <v>0</v>
      </c>
      <c r="S33">
        <v>3.8</v>
      </c>
      <c r="T33">
        <v>701.89375843896494</v>
      </c>
    </row>
    <row r="34" spans="1:20" x14ac:dyDescent="0.25">
      <c r="A34" t="s">
        <v>278</v>
      </c>
      <c r="B34">
        <f>VLOOKUP(A34,'Bank Z Score'!$C$12:$P$226,14,FALSE)</f>
        <v>22.17841</v>
      </c>
      <c r="C34">
        <v>52.43</v>
      </c>
      <c r="D34">
        <v>46.03</v>
      </c>
      <c r="E34">
        <v>59.37</v>
      </c>
      <c r="F34">
        <v>39.020000000000003</v>
      </c>
      <c r="G34">
        <v>46.7</v>
      </c>
      <c r="H34">
        <v>49.9</v>
      </c>
      <c r="I34">
        <v>0</v>
      </c>
      <c r="J34">
        <v>6.9</v>
      </c>
      <c r="K34">
        <v>2</v>
      </c>
      <c r="L34">
        <v>0</v>
      </c>
      <c r="M34">
        <v>7</v>
      </c>
      <c r="N34">
        <v>43.867923736572301</v>
      </c>
      <c r="O34">
        <v>0</v>
      </c>
      <c r="P34">
        <v>0</v>
      </c>
      <c r="Q34">
        <v>70.356630999999993</v>
      </c>
      <c r="R34">
        <v>0</v>
      </c>
      <c r="S34">
        <v>29.5</v>
      </c>
      <c r="T34">
        <v>453.07455473657228</v>
      </c>
    </row>
    <row r="35" spans="1:20" x14ac:dyDescent="0.25">
      <c r="A35" t="s">
        <v>248</v>
      </c>
      <c r="B35">
        <f>VLOOKUP(A35,'Bank Z Score'!$C$12:$P$226,14,FALSE)</f>
        <v>21.42436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12.3</v>
      </c>
      <c r="K35">
        <v>8</v>
      </c>
      <c r="L35">
        <v>0</v>
      </c>
      <c r="M35">
        <v>6</v>
      </c>
      <c r="N35">
        <v>73.113204956054702</v>
      </c>
      <c r="O35">
        <v>0</v>
      </c>
      <c r="P35">
        <v>0</v>
      </c>
      <c r="Q35">
        <v>72.206030999999996</v>
      </c>
      <c r="R35">
        <v>0</v>
      </c>
      <c r="S35">
        <v>4</v>
      </c>
      <c r="T35">
        <v>175.61923595605469</v>
      </c>
    </row>
    <row r="36" spans="1:20" x14ac:dyDescent="0.25">
      <c r="A36" t="s">
        <v>280</v>
      </c>
      <c r="B36">
        <f>VLOOKUP(A36,'Bank Z Score'!$C$12:$P$226,14,FALSE)</f>
        <v>21.36008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4</v>
      </c>
      <c r="L36">
        <v>0</v>
      </c>
      <c r="M36">
        <v>7</v>
      </c>
      <c r="N36">
        <v>48.095237731933601</v>
      </c>
      <c r="O36">
        <v>0</v>
      </c>
      <c r="P36">
        <v>0</v>
      </c>
      <c r="Q36">
        <v>83.336843000000002</v>
      </c>
      <c r="R36">
        <v>0</v>
      </c>
      <c r="S36">
        <v>10.5</v>
      </c>
      <c r="T36">
        <v>152.93208073193361</v>
      </c>
    </row>
    <row r="37" spans="1:20" x14ac:dyDescent="0.25">
      <c r="A37" t="s">
        <v>192</v>
      </c>
      <c r="B37">
        <f>VLOOKUP(A37,'Bank Z Score'!$C$12:$P$226,14,FALSE)</f>
        <v>20.71885</v>
      </c>
      <c r="C37">
        <v>88.37</v>
      </c>
      <c r="D37">
        <v>87.51</v>
      </c>
      <c r="E37">
        <v>89.23</v>
      </c>
      <c r="F37">
        <v>82.98</v>
      </c>
      <c r="G37">
        <v>71.67</v>
      </c>
      <c r="H37">
        <v>74.27</v>
      </c>
      <c r="I37">
        <v>0</v>
      </c>
      <c r="J37">
        <v>0.4</v>
      </c>
      <c r="K37">
        <v>10</v>
      </c>
      <c r="L37">
        <v>63.266836673295103</v>
      </c>
      <c r="M37">
        <v>6</v>
      </c>
      <c r="N37">
        <v>62.264152526855497</v>
      </c>
      <c r="O37">
        <v>0</v>
      </c>
      <c r="P37">
        <v>0</v>
      </c>
      <c r="Q37">
        <v>86.017691999999997</v>
      </c>
      <c r="R37">
        <v>0</v>
      </c>
      <c r="S37">
        <v>17.5</v>
      </c>
      <c r="T37">
        <v>739.47868120015062</v>
      </c>
    </row>
    <row r="38" spans="1:20" x14ac:dyDescent="0.25">
      <c r="A38" t="s">
        <v>110</v>
      </c>
      <c r="B38">
        <f>VLOOKUP(A38,'Bank Z Score'!$C$12:$P$226,14,FALSE)</f>
        <v>20.59571</v>
      </c>
      <c r="C38">
        <v>27.44</v>
      </c>
      <c r="D38">
        <v>24.2</v>
      </c>
      <c r="E38">
        <v>30.57</v>
      </c>
      <c r="F38">
        <v>20</v>
      </c>
      <c r="G38">
        <v>25</v>
      </c>
      <c r="H38">
        <v>9.74</v>
      </c>
      <c r="I38">
        <v>0</v>
      </c>
      <c r="J38">
        <v>4.9000000000000004</v>
      </c>
      <c r="K38">
        <v>8</v>
      </c>
      <c r="L38">
        <v>0</v>
      </c>
      <c r="M38">
        <v>12</v>
      </c>
      <c r="N38">
        <v>28.571428298950199</v>
      </c>
      <c r="O38">
        <v>0</v>
      </c>
      <c r="P38">
        <v>0</v>
      </c>
      <c r="Q38">
        <v>80.987706000000003</v>
      </c>
      <c r="R38">
        <v>0</v>
      </c>
      <c r="S38">
        <v>12.5</v>
      </c>
      <c r="T38">
        <v>283.90913429895022</v>
      </c>
    </row>
    <row r="39" spans="1:20" x14ac:dyDescent="0.25">
      <c r="A39" t="s">
        <v>112</v>
      </c>
      <c r="B39">
        <f>VLOOKUP(A39,'Bank Z Score'!$C$12:$P$226,14,FALSE)</f>
        <v>20.566780000000001</v>
      </c>
      <c r="C39">
        <v>35.85</v>
      </c>
      <c r="D39">
        <v>29.23</v>
      </c>
      <c r="E39">
        <v>44.8</v>
      </c>
      <c r="F39">
        <v>23.08</v>
      </c>
      <c r="G39">
        <v>27.96</v>
      </c>
      <c r="H39">
        <v>31.65</v>
      </c>
      <c r="I39">
        <v>0</v>
      </c>
      <c r="J39">
        <v>3.1</v>
      </c>
      <c r="K39">
        <v>3</v>
      </c>
      <c r="L39">
        <v>101.704452248702</v>
      </c>
      <c r="M39">
        <v>15</v>
      </c>
      <c r="N39">
        <v>33.809524536132798</v>
      </c>
      <c r="O39">
        <v>2.0050918453445599</v>
      </c>
      <c r="P39">
        <v>83.667764276266894</v>
      </c>
      <c r="Q39">
        <v>81.834863999999996</v>
      </c>
      <c r="R39">
        <v>0</v>
      </c>
      <c r="S39">
        <v>16.5</v>
      </c>
      <c r="T39">
        <v>533.19169690644628</v>
      </c>
    </row>
    <row r="40" spans="1:20" x14ac:dyDescent="0.25">
      <c r="A40" t="s">
        <v>188</v>
      </c>
      <c r="B40">
        <f>VLOOKUP(A40,'Bank Z Score'!$C$12:$P$226,14,FALSE)</f>
        <v>20.259699999999999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10</v>
      </c>
      <c r="N40">
        <v>79.716979980468807</v>
      </c>
      <c r="O40">
        <v>0</v>
      </c>
      <c r="P40">
        <v>0</v>
      </c>
      <c r="Q40">
        <v>95.794194000000005</v>
      </c>
      <c r="R40">
        <v>0</v>
      </c>
      <c r="S40">
        <v>0</v>
      </c>
      <c r="T40">
        <v>185.51117398046881</v>
      </c>
    </row>
    <row r="41" spans="1:20" x14ac:dyDescent="0.25">
      <c r="A41" t="s">
        <v>178</v>
      </c>
      <c r="B41">
        <f>VLOOKUP(A41,'Bank Z Score'!$C$12:$P$226,14,FALSE)</f>
        <v>20.189699999999998</v>
      </c>
      <c r="C41">
        <v>20.7</v>
      </c>
      <c r="D41">
        <v>16.59</v>
      </c>
      <c r="E41">
        <v>24.65</v>
      </c>
      <c r="F41">
        <v>12.85</v>
      </c>
      <c r="G41">
        <v>15.51</v>
      </c>
      <c r="H41">
        <v>7.87</v>
      </c>
      <c r="I41">
        <v>0</v>
      </c>
      <c r="J41">
        <v>21.8</v>
      </c>
      <c r="K41">
        <v>9</v>
      </c>
      <c r="L41">
        <v>0</v>
      </c>
      <c r="M41">
        <v>10</v>
      </c>
      <c r="N41">
        <v>14.1509437561035</v>
      </c>
      <c r="O41">
        <v>0</v>
      </c>
      <c r="P41">
        <v>0</v>
      </c>
      <c r="Q41">
        <v>89.796081999999998</v>
      </c>
      <c r="R41">
        <v>0</v>
      </c>
      <c r="S41">
        <v>15</v>
      </c>
      <c r="T41">
        <v>257.9170257561035</v>
      </c>
    </row>
    <row r="42" spans="1:20" x14ac:dyDescent="0.25">
      <c r="A42" t="s">
        <v>122</v>
      </c>
      <c r="B42">
        <f>VLOOKUP(A42,'Bank Z Score'!$C$12:$P$226,14,FALSE)</f>
        <v>19.97747</v>
      </c>
      <c r="C42">
        <v>99.24</v>
      </c>
      <c r="D42">
        <v>100</v>
      </c>
      <c r="E42">
        <v>98.42</v>
      </c>
      <c r="F42">
        <v>98.4</v>
      </c>
      <c r="G42">
        <v>95.87</v>
      </c>
      <c r="H42">
        <v>99.24</v>
      </c>
      <c r="I42">
        <v>0</v>
      </c>
      <c r="J42">
        <v>1.6</v>
      </c>
      <c r="K42">
        <v>8</v>
      </c>
      <c r="L42">
        <v>123.148570476633</v>
      </c>
      <c r="M42">
        <v>13</v>
      </c>
      <c r="N42">
        <v>89.047622680664105</v>
      </c>
      <c r="O42">
        <v>0</v>
      </c>
      <c r="P42">
        <v>0</v>
      </c>
      <c r="Q42">
        <v>92.822394000000003</v>
      </c>
      <c r="R42">
        <v>0</v>
      </c>
      <c r="S42">
        <v>4</v>
      </c>
      <c r="T42">
        <v>922.78858715729723</v>
      </c>
    </row>
    <row r="43" spans="1:20" x14ac:dyDescent="0.25">
      <c r="A43" t="s">
        <v>140</v>
      </c>
      <c r="B43">
        <f>VLOOKUP(A43,'Bank Z Score'!$C$12:$P$226,14,FALSE)</f>
        <v>19.747219999999999</v>
      </c>
      <c r="C43">
        <v>97.8</v>
      </c>
      <c r="D43">
        <v>98.19</v>
      </c>
      <c r="E43">
        <v>97.33</v>
      </c>
      <c r="F43">
        <v>96.46</v>
      </c>
      <c r="G43">
        <v>96.14</v>
      </c>
      <c r="H43">
        <v>88.88</v>
      </c>
      <c r="I43">
        <v>0</v>
      </c>
      <c r="J43">
        <v>2.6</v>
      </c>
      <c r="K43">
        <v>10</v>
      </c>
      <c r="L43">
        <v>0</v>
      </c>
      <c r="M43">
        <v>9</v>
      </c>
      <c r="N43">
        <v>94.285713195800795</v>
      </c>
      <c r="O43">
        <v>0</v>
      </c>
      <c r="P43">
        <v>0</v>
      </c>
      <c r="Q43">
        <v>94.539866000000004</v>
      </c>
      <c r="R43">
        <v>0</v>
      </c>
      <c r="S43">
        <v>1.5</v>
      </c>
      <c r="T43">
        <v>786.72557919580072</v>
      </c>
    </row>
    <row r="44" spans="1:20" x14ac:dyDescent="0.25">
      <c r="A44" t="s">
        <v>228</v>
      </c>
      <c r="B44">
        <f>VLOOKUP(A44,'Bank Z Score'!$C$12:$P$226,14,FALSE)</f>
        <v>19.641490000000001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8</v>
      </c>
      <c r="L44">
        <v>0</v>
      </c>
      <c r="M44">
        <v>10</v>
      </c>
      <c r="N44">
        <v>65.714286804199205</v>
      </c>
      <c r="O44">
        <v>0</v>
      </c>
      <c r="P44">
        <v>0</v>
      </c>
      <c r="Q44">
        <v>91.925533999999999</v>
      </c>
      <c r="R44">
        <v>0</v>
      </c>
      <c r="S44">
        <v>4.3</v>
      </c>
      <c r="T44">
        <v>179.9398208041992</v>
      </c>
    </row>
    <row r="45" spans="1:20" x14ac:dyDescent="0.25">
      <c r="A45" t="s">
        <v>100</v>
      </c>
      <c r="B45">
        <f>VLOOKUP(A45,'Bank Z Score'!$C$12:$P$226,14,FALSE)</f>
        <v>19.60885</v>
      </c>
      <c r="C45">
        <v>68.489999999999995</v>
      </c>
      <c r="D45">
        <v>61.08</v>
      </c>
      <c r="E45">
        <v>76.34</v>
      </c>
      <c r="F45">
        <v>57.23</v>
      </c>
      <c r="G45">
        <v>51.75</v>
      </c>
      <c r="H45">
        <v>77.040000000000006</v>
      </c>
      <c r="I45">
        <v>0</v>
      </c>
      <c r="J45">
        <v>5.6</v>
      </c>
      <c r="K45">
        <v>5</v>
      </c>
      <c r="L45">
        <v>71.111576412909301</v>
      </c>
      <c r="M45">
        <v>13</v>
      </c>
      <c r="N45">
        <v>74.285713195800795</v>
      </c>
      <c r="O45">
        <v>7.2438669038614796</v>
      </c>
      <c r="P45">
        <v>68.879066876543803</v>
      </c>
      <c r="Q45">
        <v>90.339671999999993</v>
      </c>
      <c r="R45">
        <v>0</v>
      </c>
      <c r="S45">
        <v>23</v>
      </c>
      <c r="T45">
        <v>750.38989538911528</v>
      </c>
    </row>
    <row r="46" spans="1:20" x14ac:dyDescent="0.25">
      <c r="A46" t="s">
        <v>174</v>
      </c>
      <c r="B46">
        <f>VLOOKUP(A46,'Bank Z Score'!$C$12:$P$226,14,FALSE)</f>
        <v>19.479469999999999</v>
      </c>
      <c r="C46">
        <v>37.32</v>
      </c>
      <c r="D46">
        <v>37.85</v>
      </c>
      <c r="E46">
        <v>36.75</v>
      </c>
      <c r="F46">
        <v>22.8</v>
      </c>
      <c r="G46">
        <v>28.72</v>
      </c>
      <c r="H46">
        <v>26.38</v>
      </c>
      <c r="I46">
        <v>0</v>
      </c>
      <c r="J46">
        <v>0</v>
      </c>
      <c r="K46">
        <v>6</v>
      </c>
      <c r="L46">
        <v>0</v>
      </c>
      <c r="M46">
        <v>9</v>
      </c>
      <c r="N46">
        <v>19.811321258544901</v>
      </c>
      <c r="O46">
        <v>0</v>
      </c>
      <c r="P46">
        <v>0</v>
      </c>
      <c r="Q46">
        <v>76.463452000000004</v>
      </c>
      <c r="R46">
        <v>0</v>
      </c>
      <c r="S46">
        <v>173</v>
      </c>
      <c r="T46">
        <v>474.09477325854488</v>
      </c>
    </row>
    <row r="47" spans="1:20" x14ac:dyDescent="0.25">
      <c r="A47" t="s">
        <v>146</v>
      </c>
      <c r="B47">
        <f>VLOOKUP(A47,'Bank Z Score'!$C$12:$P$226,14,FALSE)</f>
        <v>19.438079999999999</v>
      </c>
      <c r="C47">
        <v>77.53</v>
      </c>
      <c r="D47">
        <v>77.55</v>
      </c>
      <c r="E47">
        <v>77.510000000000005</v>
      </c>
      <c r="F47">
        <v>78.25</v>
      </c>
      <c r="G47">
        <v>75.900000000000006</v>
      </c>
      <c r="H47">
        <v>67.5</v>
      </c>
      <c r="I47">
        <v>0</v>
      </c>
      <c r="J47">
        <v>27.2</v>
      </c>
      <c r="K47">
        <v>8</v>
      </c>
      <c r="L47">
        <v>0</v>
      </c>
      <c r="M47">
        <v>8</v>
      </c>
      <c r="N47">
        <v>44.811321258544901</v>
      </c>
      <c r="O47">
        <v>0</v>
      </c>
      <c r="P47">
        <v>0</v>
      </c>
      <c r="Q47">
        <v>78.057246000000006</v>
      </c>
      <c r="R47">
        <v>0</v>
      </c>
      <c r="S47">
        <v>17.5</v>
      </c>
      <c r="T47">
        <v>637.80856725854483</v>
      </c>
    </row>
    <row r="48" spans="1:20" x14ac:dyDescent="0.25">
      <c r="A48" t="s">
        <v>102</v>
      </c>
      <c r="B48">
        <f>VLOOKUP(A48,'Bank Z Score'!$C$12:$P$226,14,FALSE)</f>
        <v>19.021909999999998</v>
      </c>
      <c r="C48">
        <v>50.76</v>
      </c>
      <c r="D48">
        <v>37.44</v>
      </c>
      <c r="E48">
        <v>64.010000000000005</v>
      </c>
      <c r="F48">
        <v>44.01</v>
      </c>
      <c r="G48">
        <v>43.99</v>
      </c>
      <c r="H48">
        <v>39.979999999999997</v>
      </c>
      <c r="I48">
        <v>0</v>
      </c>
      <c r="J48">
        <v>19.8</v>
      </c>
      <c r="K48">
        <v>7</v>
      </c>
      <c r="L48">
        <v>0</v>
      </c>
      <c r="M48">
        <v>10</v>
      </c>
      <c r="N48">
        <v>44.339622497558601</v>
      </c>
      <c r="O48">
        <v>0</v>
      </c>
      <c r="P48">
        <v>0</v>
      </c>
      <c r="Q48">
        <v>59.718358000000002</v>
      </c>
      <c r="R48">
        <v>0</v>
      </c>
      <c r="S48">
        <v>6</v>
      </c>
      <c r="T48">
        <v>427.04798049755863</v>
      </c>
    </row>
    <row r="49" spans="1:20" x14ac:dyDescent="0.25">
      <c r="A49" t="s">
        <v>258</v>
      </c>
      <c r="B49">
        <f>VLOOKUP(A49,'Bank Z Score'!$C$12:$P$226,14,FALSE)</f>
        <v>18.925660000000001</v>
      </c>
      <c r="C49">
        <v>95.62</v>
      </c>
      <c r="D49">
        <v>94.01</v>
      </c>
      <c r="E49">
        <v>97.36</v>
      </c>
      <c r="F49">
        <v>90.83</v>
      </c>
      <c r="G49">
        <v>70.75</v>
      </c>
      <c r="H49">
        <v>96.05</v>
      </c>
      <c r="I49">
        <v>0</v>
      </c>
      <c r="J49">
        <v>2.4</v>
      </c>
      <c r="K49">
        <v>3</v>
      </c>
      <c r="L49">
        <v>77.602883349438201</v>
      </c>
      <c r="M49">
        <v>11</v>
      </c>
      <c r="N49">
        <v>64.285713195800795</v>
      </c>
      <c r="O49">
        <v>0</v>
      </c>
      <c r="P49">
        <v>0</v>
      </c>
      <c r="Q49">
        <v>89.688047999999995</v>
      </c>
      <c r="R49">
        <v>0</v>
      </c>
      <c r="S49">
        <v>21.5</v>
      </c>
      <c r="T49">
        <v>814.09664454523897</v>
      </c>
    </row>
    <row r="50" spans="1:20" x14ac:dyDescent="0.25">
      <c r="A50" t="s">
        <v>74</v>
      </c>
      <c r="B50">
        <f>VLOOKUP(A50,'Bank Z Score'!$C$12:$P$226,14,FALSE)</f>
        <v>18.728090000000002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13</v>
      </c>
      <c r="N50">
        <v>88.679244995117202</v>
      </c>
      <c r="O50">
        <v>0</v>
      </c>
      <c r="P50">
        <v>0</v>
      </c>
      <c r="Q50">
        <v>92.818295000000006</v>
      </c>
      <c r="R50">
        <v>0</v>
      </c>
      <c r="S50">
        <v>0</v>
      </c>
      <c r="T50">
        <v>194.49753999511722</v>
      </c>
    </row>
    <row r="51" spans="1:20" x14ac:dyDescent="0.25">
      <c r="A51" t="s">
        <v>244</v>
      </c>
      <c r="B51">
        <f>VLOOKUP(A51,'Bank Z Score'!$C$12:$P$226,14,FALSE)</f>
        <v>18.45945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</v>
      </c>
      <c r="L51">
        <v>0</v>
      </c>
      <c r="M51">
        <v>12</v>
      </c>
      <c r="N51">
        <v>79.245285034179702</v>
      </c>
      <c r="O51">
        <v>0</v>
      </c>
      <c r="P51">
        <v>0</v>
      </c>
      <c r="Q51">
        <v>94.148753999999997</v>
      </c>
      <c r="R51">
        <v>0</v>
      </c>
      <c r="S51">
        <v>8.6999999999999993</v>
      </c>
      <c r="T51">
        <v>196.09403903417967</v>
      </c>
    </row>
    <row r="52" spans="1:20" x14ac:dyDescent="0.25">
      <c r="A52" t="s">
        <v>194</v>
      </c>
      <c r="B52">
        <f>VLOOKUP(A52,'Bank Z Score'!$C$12:$P$226,14,FALSE)</f>
        <v>18.408840000000001</v>
      </c>
      <c r="C52">
        <v>96.45</v>
      </c>
      <c r="D52">
        <v>95.33</v>
      </c>
      <c r="E52">
        <v>97.57</v>
      </c>
      <c r="F52">
        <v>93.35</v>
      </c>
      <c r="G52">
        <v>93.37</v>
      </c>
      <c r="H52">
        <v>94.44</v>
      </c>
      <c r="I52">
        <v>0</v>
      </c>
      <c r="J52">
        <v>2.4</v>
      </c>
      <c r="K52">
        <v>3</v>
      </c>
      <c r="L52">
        <v>0</v>
      </c>
      <c r="M52">
        <v>11</v>
      </c>
      <c r="N52">
        <v>62.857143402099602</v>
      </c>
      <c r="O52">
        <v>0</v>
      </c>
      <c r="P52">
        <v>0</v>
      </c>
      <c r="Q52">
        <v>92.807496</v>
      </c>
      <c r="R52">
        <v>0</v>
      </c>
      <c r="S52">
        <v>20.5</v>
      </c>
      <c r="T52">
        <v>763.07463940209959</v>
      </c>
    </row>
    <row r="53" spans="1:20" x14ac:dyDescent="0.25">
      <c r="A53" t="s">
        <v>290</v>
      </c>
      <c r="B53">
        <f>VLOOKUP(A53,'Bank Z Score'!$C$12:$P$226,14,FALSE)</f>
        <v>18.106619999999999</v>
      </c>
      <c r="C53">
        <v>99.76</v>
      </c>
      <c r="D53">
        <v>99.91</v>
      </c>
      <c r="E53">
        <v>99.61</v>
      </c>
      <c r="F53">
        <v>99.57</v>
      </c>
      <c r="G53">
        <v>98.33</v>
      </c>
      <c r="H53">
        <v>100</v>
      </c>
      <c r="I53">
        <v>0</v>
      </c>
      <c r="J53">
        <v>0</v>
      </c>
      <c r="K53">
        <v>10</v>
      </c>
      <c r="L53">
        <v>196.640576642773</v>
      </c>
      <c r="M53">
        <v>11</v>
      </c>
      <c r="N53">
        <v>94.285713195800795</v>
      </c>
      <c r="O53">
        <v>0</v>
      </c>
      <c r="P53">
        <v>0</v>
      </c>
      <c r="Q53">
        <v>91.361521999999994</v>
      </c>
      <c r="R53">
        <v>0</v>
      </c>
      <c r="S53">
        <v>4.5</v>
      </c>
      <c r="T53">
        <v>1004.9678118385739</v>
      </c>
    </row>
    <row r="54" spans="1:20" x14ac:dyDescent="0.25">
      <c r="A54" t="s">
        <v>234</v>
      </c>
      <c r="B54">
        <f>VLOOKUP(A54,'Bank Z Score'!$C$12:$P$226,14,FALSE)</f>
        <v>17.13345</v>
      </c>
      <c r="C54">
        <v>54.42</v>
      </c>
      <c r="D54">
        <v>55.35</v>
      </c>
      <c r="E54">
        <v>53.49</v>
      </c>
      <c r="F54">
        <v>47.84</v>
      </c>
      <c r="G54">
        <v>43.61</v>
      </c>
      <c r="H54">
        <v>45.54</v>
      </c>
      <c r="I54">
        <v>0</v>
      </c>
      <c r="J54">
        <v>16.100000000000001</v>
      </c>
      <c r="K54">
        <v>6</v>
      </c>
      <c r="L54">
        <v>0</v>
      </c>
      <c r="M54">
        <v>13</v>
      </c>
      <c r="N54">
        <v>21.428571701049801</v>
      </c>
      <c r="O54">
        <v>1.0251163136083301</v>
      </c>
      <c r="P54">
        <v>76.541349625306907</v>
      </c>
      <c r="Q54">
        <v>83.694025999999994</v>
      </c>
      <c r="R54">
        <v>0</v>
      </c>
      <c r="S54">
        <v>35</v>
      </c>
      <c r="T54">
        <v>553.03906363996509</v>
      </c>
    </row>
    <row r="55" spans="1:20" x14ac:dyDescent="0.25">
      <c r="A55" t="s">
        <v>70</v>
      </c>
      <c r="B55">
        <f>VLOOKUP(A55,'Bank Z Score'!$C$12:$P$226,14,FALSE)</f>
        <v>17.123950000000001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6</v>
      </c>
      <c r="L55">
        <v>33.2442286168097</v>
      </c>
      <c r="M55">
        <v>11</v>
      </c>
      <c r="N55">
        <v>56.190475463867202</v>
      </c>
      <c r="O55">
        <v>41.428400070760901</v>
      </c>
      <c r="P55">
        <v>47.074577773880399</v>
      </c>
      <c r="Q55">
        <v>86.958715999999995</v>
      </c>
      <c r="R55">
        <v>0</v>
      </c>
      <c r="S55">
        <v>8.5</v>
      </c>
      <c r="T55">
        <v>290.39639792531824</v>
      </c>
    </row>
    <row r="56" spans="1:20" x14ac:dyDescent="0.25">
      <c r="A56" t="s">
        <v>120</v>
      </c>
      <c r="B56">
        <f>VLOOKUP(A56,'Bank Z Score'!$C$12:$P$226,14,FALSE)</f>
        <v>17.11392</v>
      </c>
      <c r="C56">
        <v>99.53</v>
      </c>
      <c r="D56">
        <v>99.08</v>
      </c>
      <c r="E56">
        <v>100</v>
      </c>
      <c r="F56">
        <v>98.82</v>
      </c>
      <c r="G56">
        <v>98.31</v>
      </c>
      <c r="H56">
        <v>96.47</v>
      </c>
      <c r="I56">
        <v>0</v>
      </c>
      <c r="J56">
        <v>2.8</v>
      </c>
      <c r="K56">
        <v>6</v>
      </c>
      <c r="L56">
        <v>0</v>
      </c>
      <c r="M56">
        <v>11</v>
      </c>
      <c r="N56">
        <v>99.528305053710895</v>
      </c>
      <c r="O56">
        <v>0</v>
      </c>
      <c r="P56">
        <v>0</v>
      </c>
      <c r="Q56">
        <v>93.323884000000007</v>
      </c>
      <c r="R56">
        <v>0</v>
      </c>
      <c r="S56">
        <v>13</v>
      </c>
      <c r="T56">
        <v>817.86218905371095</v>
      </c>
    </row>
    <row r="57" spans="1:20" x14ac:dyDescent="0.25">
      <c r="A57" t="s">
        <v>236</v>
      </c>
      <c r="B57">
        <f>VLOOKUP(A57,'Bank Z Score'!$C$12:$P$226,14,FALSE)</f>
        <v>16.938970000000001</v>
      </c>
      <c r="C57">
        <v>57.5</v>
      </c>
      <c r="D57">
        <v>53.03</v>
      </c>
      <c r="E57">
        <v>62.32</v>
      </c>
      <c r="F57">
        <v>45.54</v>
      </c>
      <c r="G57">
        <v>40.93</v>
      </c>
      <c r="H57">
        <v>46.62</v>
      </c>
      <c r="I57">
        <v>0</v>
      </c>
      <c r="J57">
        <v>7.6</v>
      </c>
      <c r="K57">
        <v>9</v>
      </c>
      <c r="L57">
        <v>35.245253713184802</v>
      </c>
      <c r="M57">
        <v>14</v>
      </c>
      <c r="N57">
        <v>34.285713195800803</v>
      </c>
      <c r="O57">
        <v>1.64309986876228</v>
      </c>
      <c r="P57">
        <v>87.481666098492795</v>
      </c>
      <c r="Q57">
        <v>85.832278000000002</v>
      </c>
      <c r="R57">
        <v>0</v>
      </c>
      <c r="S57">
        <v>26</v>
      </c>
      <c r="T57">
        <v>607.02801087624073</v>
      </c>
    </row>
    <row r="58" spans="1:20" x14ac:dyDescent="0.25">
      <c r="A58" t="s">
        <v>180</v>
      </c>
      <c r="B58">
        <f>VLOOKUP(A58,'Bank Z Score'!$C$12:$P$226,14,FALSE)</f>
        <v>16.92211</v>
      </c>
      <c r="C58">
        <v>63.63</v>
      </c>
      <c r="D58">
        <v>62.37</v>
      </c>
      <c r="E58">
        <v>65.05</v>
      </c>
      <c r="F58">
        <v>58.64</v>
      </c>
      <c r="G58">
        <v>55.49</v>
      </c>
      <c r="H58">
        <v>61.8</v>
      </c>
      <c r="I58">
        <v>0</v>
      </c>
      <c r="J58">
        <v>7.3</v>
      </c>
      <c r="K58">
        <v>3</v>
      </c>
      <c r="L58">
        <v>32.1670318908686</v>
      </c>
      <c r="M58">
        <v>7</v>
      </c>
      <c r="N58">
        <v>51.4285697937012</v>
      </c>
      <c r="O58">
        <v>0</v>
      </c>
      <c r="P58">
        <v>0</v>
      </c>
      <c r="Q58">
        <v>49.357239</v>
      </c>
      <c r="R58">
        <v>0</v>
      </c>
      <c r="S58">
        <v>15</v>
      </c>
      <c r="T58">
        <v>532.23284068456985</v>
      </c>
    </row>
    <row r="59" spans="1:20" x14ac:dyDescent="0.25">
      <c r="A59" t="s">
        <v>264</v>
      </c>
      <c r="B59">
        <f>VLOOKUP(A59,'Bank Z Score'!$C$12:$P$226,14,FALSE)</f>
        <v>16.915579999999999</v>
      </c>
      <c r="C59">
        <v>98.3</v>
      </c>
      <c r="D59">
        <v>97.49</v>
      </c>
      <c r="E59">
        <v>99.11</v>
      </c>
      <c r="F59">
        <v>97.93</v>
      </c>
      <c r="G59">
        <v>96.37</v>
      </c>
      <c r="H59">
        <v>96.84</v>
      </c>
      <c r="I59">
        <v>0</v>
      </c>
      <c r="J59">
        <v>3.5</v>
      </c>
      <c r="K59">
        <v>7</v>
      </c>
      <c r="L59">
        <v>138.91198855805999</v>
      </c>
      <c r="M59">
        <v>10</v>
      </c>
      <c r="N59">
        <v>75.714286804199205</v>
      </c>
      <c r="O59">
        <v>0</v>
      </c>
      <c r="P59">
        <v>0</v>
      </c>
      <c r="Q59">
        <v>94.078739999999996</v>
      </c>
      <c r="R59">
        <v>0</v>
      </c>
      <c r="S59">
        <v>12.5</v>
      </c>
      <c r="T59">
        <v>927.74501536225921</v>
      </c>
    </row>
    <row r="60" spans="1:20" x14ac:dyDescent="0.25">
      <c r="A60" t="s">
        <v>284</v>
      </c>
      <c r="B60">
        <f>VLOOKUP(A60,'Bank Z Score'!$C$12:$P$226,14,FALSE)</f>
        <v>16.675339999999998</v>
      </c>
      <c r="C60">
        <v>65.91</v>
      </c>
      <c r="D60">
        <v>65.06</v>
      </c>
      <c r="E60">
        <v>66.88</v>
      </c>
      <c r="F60">
        <v>51.39</v>
      </c>
      <c r="G60">
        <v>54.26</v>
      </c>
      <c r="H60">
        <v>62.65</v>
      </c>
      <c r="I60">
        <v>0</v>
      </c>
      <c r="J60">
        <v>0</v>
      </c>
      <c r="K60">
        <v>3</v>
      </c>
      <c r="L60">
        <v>53.890283064004002</v>
      </c>
      <c r="M60">
        <v>7</v>
      </c>
      <c r="N60">
        <v>16.509433746337901</v>
      </c>
      <c r="O60">
        <v>0</v>
      </c>
      <c r="P60">
        <v>0</v>
      </c>
      <c r="Q60">
        <v>69.601010000000002</v>
      </c>
      <c r="R60">
        <v>0</v>
      </c>
      <c r="S60">
        <v>24</v>
      </c>
      <c r="T60">
        <v>540.15072681034189</v>
      </c>
    </row>
    <row r="61" spans="1:20" x14ac:dyDescent="0.25">
      <c r="A61" t="s">
        <v>170</v>
      </c>
      <c r="B61">
        <f>VLOOKUP(A61,'Bank Z Score'!$C$12:$P$226,14,FALSE)</f>
        <v>16.577870000000001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5</v>
      </c>
      <c r="L61">
        <v>0</v>
      </c>
      <c r="M61">
        <v>9</v>
      </c>
      <c r="N61">
        <v>60.377357482910199</v>
      </c>
      <c r="O61">
        <v>0</v>
      </c>
      <c r="P61">
        <v>0</v>
      </c>
      <c r="Q61">
        <v>94.200935999999999</v>
      </c>
      <c r="R61">
        <v>0</v>
      </c>
      <c r="S61">
        <v>19.399999999999999</v>
      </c>
      <c r="T61">
        <v>187.9782934829102</v>
      </c>
    </row>
    <row r="62" spans="1:20" x14ac:dyDescent="0.25">
      <c r="A62" t="s">
        <v>84</v>
      </c>
      <c r="B62">
        <f>VLOOKUP(A62,'Bank Z Score'!$C$12:$P$226,14,FALSE)</f>
        <v>16.35463</v>
      </c>
      <c r="C62">
        <v>84.04</v>
      </c>
      <c r="D62">
        <v>80.87</v>
      </c>
      <c r="E62">
        <v>87.05</v>
      </c>
      <c r="F62">
        <v>81.98</v>
      </c>
      <c r="G62">
        <v>81.28</v>
      </c>
      <c r="H62">
        <v>79.92</v>
      </c>
      <c r="I62">
        <v>0</v>
      </c>
      <c r="J62">
        <v>0</v>
      </c>
      <c r="K62">
        <v>5</v>
      </c>
      <c r="L62">
        <v>98.709881954654506</v>
      </c>
      <c r="M62">
        <v>14</v>
      </c>
      <c r="N62">
        <v>39.523811340332003</v>
      </c>
      <c r="O62">
        <v>10.5398803410033</v>
      </c>
      <c r="P62">
        <v>51.6526428031477</v>
      </c>
      <c r="Q62">
        <v>86.473097999999993</v>
      </c>
      <c r="R62">
        <v>0</v>
      </c>
      <c r="S62">
        <v>16.600000000000001</v>
      </c>
      <c r="T62">
        <v>817.63931443913759</v>
      </c>
    </row>
    <row r="63" spans="1:20" x14ac:dyDescent="0.25">
      <c r="A63" t="s">
        <v>242</v>
      </c>
      <c r="B63">
        <f>VLOOKUP(A63,'Bank Z Score'!$C$12:$P$226,14,FALSE)</f>
        <v>16.092420000000001</v>
      </c>
      <c r="C63">
        <v>92.65</v>
      </c>
      <c r="D63">
        <v>90.18</v>
      </c>
      <c r="E63">
        <v>95.37</v>
      </c>
      <c r="F63">
        <v>87.62</v>
      </c>
      <c r="G63">
        <v>89.89</v>
      </c>
      <c r="H63">
        <v>78.16</v>
      </c>
      <c r="I63">
        <v>0</v>
      </c>
      <c r="J63">
        <v>7.7</v>
      </c>
      <c r="K63">
        <v>6</v>
      </c>
      <c r="L63">
        <v>0</v>
      </c>
      <c r="M63">
        <v>12</v>
      </c>
      <c r="N63">
        <v>77.142860412597699</v>
      </c>
      <c r="O63">
        <v>0</v>
      </c>
      <c r="P63">
        <v>0</v>
      </c>
      <c r="Q63">
        <v>93.160381000000001</v>
      </c>
      <c r="R63">
        <v>0</v>
      </c>
      <c r="S63">
        <v>6.5</v>
      </c>
      <c r="T63">
        <v>736.37324141259774</v>
      </c>
    </row>
    <row r="64" spans="1:20" x14ac:dyDescent="0.25">
      <c r="A64" t="s">
        <v>126</v>
      </c>
      <c r="B64">
        <f>VLOOKUP(A64,'Bank Z Score'!$C$12:$P$226,14,FALSE)</f>
        <v>16.04881</v>
      </c>
      <c r="C64">
        <v>99.98</v>
      </c>
      <c r="D64">
        <v>100</v>
      </c>
      <c r="E64">
        <v>99.95</v>
      </c>
      <c r="F64">
        <v>99.94</v>
      </c>
      <c r="G64">
        <v>100</v>
      </c>
      <c r="H64">
        <v>100</v>
      </c>
      <c r="I64">
        <v>0</v>
      </c>
      <c r="J64">
        <v>2.2000000000000002</v>
      </c>
      <c r="K64">
        <v>5</v>
      </c>
      <c r="L64">
        <v>0</v>
      </c>
      <c r="M64">
        <v>13</v>
      </c>
      <c r="N64">
        <v>95.754714965820298</v>
      </c>
      <c r="O64">
        <v>0</v>
      </c>
      <c r="P64">
        <v>0</v>
      </c>
      <c r="Q64">
        <v>92.122854000000004</v>
      </c>
      <c r="R64">
        <v>0</v>
      </c>
      <c r="S64">
        <v>8</v>
      </c>
      <c r="T64">
        <v>815.94756896582032</v>
      </c>
    </row>
    <row r="65" spans="1:20" x14ac:dyDescent="0.25">
      <c r="A65" t="s">
        <v>52</v>
      </c>
      <c r="B65">
        <f>VLOOKUP(A65,'Bank Z Score'!$C$12:$P$226,14,FALSE)</f>
        <v>15.548360000000001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</v>
      </c>
      <c r="L65">
        <v>0</v>
      </c>
      <c r="M65">
        <v>10</v>
      </c>
      <c r="N65">
        <v>30.188678741455099</v>
      </c>
      <c r="O65">
        <v>0</v>
      </c>
      <c r="P65">
        <v>0</v>
      </c>
      <c r="Q65">
        <v>68.636516</v>
      </c>
      <c r="R65">
        <v>0</v>
      </c>
      <c r="S65">
        <v>36</v>
      </c>
      <c r="T65">
        <v>148.82519474145511</v>
      </c>
    </row>
    <row r="66" spans="1:20" x14ac:dyDescent="0.25">
      <c r="A66" t="s">
        <v>158</v>
      </c>
      <c r="B66">
        <f>VLOOKUP(A66,'Bank Z Score'!$C$12:$P$226,14,FALSE)</f>
        <v>15.477119999999999</v>
      </c>
      <c r="C66">
        <v>73.3</v>
      </c>
      <c r="D66">
        <v>71.55</v>
      </c>
      <c r="E66">
        <v>75.11</v>
      </c>
      <c r="F66">
        <v>67.69</v>
      </c>
      <c r="G66">
        <v>59.94</v>
      </c>
      <c r="H66">
        <v>75.36</v>
      </c>
      <c r="I66">
        <v>0</v>
      </c>
      <c r="J66">
        <v>0</v>
      </c>
      <c r="K66">
        <v>4</v>
      </c>
      <c r="L66">
        <v>106.282373001667</v>
      </c>
      <c r="M66">
        <v>6</v>
      </c>
      <c r="N66">
        <v>53.809524536132798</v>
      </c>
      <c r="O66">
        <v>0</v>
      </c>
      <c r="P66">
        <v>0</v>
      </c>
      <c r="Q66">
        <v>79.916115000000005</v>
      </c>
      <c r="R66">
        <v>0</v>
      </c>
      <c r="S66">
        <v>3</v>
      </c>
      <c r="T66">
        <v>675.95801253779973</v>
      </c>
    </row>
    <row r="67" spans="1:20" x14ac:dyDescent="0.25">
      <c r="A67" t="s">
        <v>262</v>
      </c>
      <c r="B67">
        <f>VLOOKUP(A67,'Bank Z Score'!$C$12:$P$226,14,FALSE)</f>
        <v>15.462059999999999</v>
      </c>
      <c r="C67">
        <v>85.38</v>
      </c>
      <c r="D67">
        <v>86.18</v>
      </c>
      <c r="E67">
        <v>84.56</v>
      </c>
      <c r="F67">
        <v>77.819999999999993</v>
      </c>
      <c r="G67">
        <v>76.02</v>
      </c>
      <c r="H67">
        <v>79.06</v>
      </c>
      <c r="I67">
        <v>0</v>
      </c>
      <c r="J67">
        <v>1.5</v>
      </c>
      <c r="K67">
        <v>8</v>
      </c>
      <c r="L67">
        <v>76.237238333753098</v>
      </c>
      <c r="M67">
        <v>9</v>
      </c>
      <c r="N67">
        <v>54.285713195800803</v>
      </c>
      <c r="O67">
        <v>0.55485179503274296</v>
      </c>
      <c r="P67">
        <v>82.606359846140094</v>
      </c>
      <c r="Q67">
        <v>67.756465000000006</v>
      </c>
      <c r="R67">
        <v>0</v>
      </c>
      <c r="S67">
        <v>40</v>
      </c>
      <c r="T67">
        <v>828.96062817072675</v>
      </c>
    </row>
    <row r="68" spans="1:20" x14ac:dyDescent="0.25">
      <c r="A68" t="s">
        <v>72</v>
      </c>
      <c r="B68">
        <f>VLOOKUP(A68,'Bank Z Score'!$C$12:$P$226,14,FALSE)</f>
        <v>15.448499999999999</v>
      </c>
      <c r="C68">
        <v>99.01</v>
      </c>
      <c r="D68">
        <v>98.65</v>
      </c>
      <c r="E68">
        <v>99.37</v>
      </c>
      <c r="F68">
        <v>97.94</v>
      </c>
      <c r="G68">
        <v>93.81</v>
      </c>
      <c r="H68">
        <v>94.73</v>
      </c>
      <c r="I68">
        <v>0</v>
      </c>
      <c r="J68">
        <v>4.3</v>
      </c>
      <c r="K68">
        <v>8</v>
      </c>
      <c r="L68">
        <v>118.442409069939</v>
      </c>
      <c r="M68">
        <v>12</v>
      </c>
      <c r="N68">
        <v>90</v>
      </c>
      <c r="O68">
        <v>0</v>
      </c>
      <c r="P68">
        <v>0</v>
      </c>
      <c r="Q68">
        <v>92.223268000000004</v>
      </c>
      <c r="R68">
        <v>0</v>
      </c>
      <c r="S68">
        <v>5</v>
      </c>
      <c r="T68">
        <v>913.47567706993891</v>
      </c>
    </row>
    <row r="69" spans="1:20" x14ac:dyDescent="0.25">
      <c r="A69" t="s">
        <v>274</v>
      </c>
      <c r="B69">
        <f>VLOOKUP(A69,'Bank Z Score'!$C$12:$P$226,14,FALSE)</f>
        <v>15.34032</v>
      </c>
      <c r="C69">
        <v>39.49</v>
      </c>
      <c r="D69">
        <v>39.409999999999997</v>
      </c>
      <c r="E69">
        <v>39.57</v>
      </c>
      <c r="F69">
        <v>38.229999999999997</v>
      </c>
      <c r="G69">
        <v>32.17</v>
      </c>
      <c r="H69">
        <v>18.079999999999998</v>
      </c>
      <c r="I69">
        <v>0</v>
      </c>
      <c r="J69">
        <v>11.1</v>
      </c>
      <c r="K69">
        <v>8</v>
      </c>
      <c r="L69">
        <v>0</v>
      </c>
      <c r="M69">
        <v>9</v>
      </c>
      <c r="N69">
        <v>9.0476188659668004</v>
      </c>
      <c r="O69">
        <v>0</v>
      </c>
      <c r="P69">
        <v>0</v>
      </c>
      <c r="Q69">
        <v>81.096016000000006</v>
      </c>
      <c r="R69">
        <v>0</v>
      </c>
      <c r="S69">
        <v>7</v>
      </c>
      <c r="T69">
        <v>332.19363486596677</v>
      </c>
    </row>
    <row r="70" spans="1:20" x14ac:dyDescent="0.25">
      <c r="A70" t="s">
        <v>268</v>
      </c>
      <c r="B70">
        <f>VLOOKUP(A70,'Bank Z Score'!$C$12:$P$226,14,FALSE)</f>
        <v>15.338649999999999</v>
      </c>
      <c r="C70">
        <v>99.49</v>
      </c>
      <c r="D70">
        <v>99.02</v>
      </c>
      <c r="E70">
        <v>100</v>
      </c>
      <c r="F70">
        <v>99.49</v>
      </c>
      <c r="G70">
        <v>98.54</v>
      </c>
      <c r="H70">
        <v>100</v>
      </c>
      <c r="I70">
        <v>0</v>
      </c>
      <c r="J70">
        <v>0</v>
      </c>
      <c r="K70">
        <v>0</v>
      </c>
      <c r="L70">
        <v>20.852107673759601</v>
      </c>
      <c r="M70">
        <v>11</v>
      </c>
      <c r="N70">
        <v>97.169815063476605</v>
      </c>
      <c r="O70">
        <v>0</v>
      </c>
      <c r="P70">
        <v>0</v>
      </c>
      <c r="Q70">
        <v>94.406327000000005</v>
      </c>
      <c r="R70">
        <v>0</v>
      </c>
      <c r="S70">
        <v>10</v>
      </c>
      <c r="T70">
        <v>829.96824973723619</v>
      </c>
    </row>
    <row r="71" spans="1:20" x14ac:dyDescent="0.25">
      <c r="A71" t="s">
        <v>80</v>
      </c>
      <c r="B71">
        <f>VLOOKUP(A71,'Bank Z Score'!$C$12:$P$226,14,FALSE)</f>
        <v>15.29255</v>
      </c>
      <c r="C71">
        <v>79.34</v>
      </c>
      <c r="D71">
        <v>70.37</v>
      </c>
      <c r="E71">
        <v>88.71</v>
      </c>
      <c r="F71">
        <v>72.290000000000006</v>
      </c>
      <c r="G71">
        <v>57.58</v>
      </c>
      <c r="H71">
        <v>61.03</v>
      </c>
      <c r="I71">
        <v>0</v>
      </c>
      <c r="J71">
        <v>16</v>
      </c>
      <c r="K71">
        <v>3</v>
      </c>
      <c r="L71">
        <v>46.974819137829897</v>
      </c>
      <c r="M71">
        <v>9</v>
      </c>
      <c r="N71">
        <v>30.660377502441399</v>
      </c>
      <c r="O71">
        <v>0</v>
      </c>
      <c r="P71">
        <v>0</v>
      </c>
      <c r="Q71">
        <v>89.015321999999998</v>
      </c>
      <c r="R71">
        <v>0</v>
      </c>
      <c r="S71">
        <v>80</v>
      </c>
      <c r="T71">
        <v>703.97051864027128</v>
      </c>
    </row>
    <row r="72" spans="1:20" x14ac:dyDescent="0.25">
      <c r="A72" t="s">
        <v>172</v>
      </c>
      <c r="B72">
        <f>VLOOKUP(A72,'Bank Z Score'!$C$12:$P$226,14,FALSE)</f>
        <v>14.620979999999999</v>
      </c>
      <c r="C72">
        <v>45.09</v>
      </c>
      <c r="D72">
        <v>43.76</v>
      </c>
      <c r="E72">
        <v>46.54</v>
      </c>
      <c r="F72">
        <v>44.09</v>
      </c>
      <c r="G72">
        <v>28.94</v>
      </c>
      <c r="H72">
        <v>36.24</v>
      </c>
      <c r="I72">
        <v>0</v>
      </c>
      <c r="J72">
        <v>31.4</v>
      </c>
      <c r="K72">
        <v>7</v>
      </c>
      <c r="L72">
        <v>67.956222293159499</v>
      </c>
      <c r="M72">
        <v>10</v>
      </c>
      <c r="N72">
        <v>17.142856597900401</v>
      </c>
      <c r="O72">
        <v>49.9245645504678</v>
      </c>
      <c r="P72">
        <v>10.6172086816066</v>
      </c>
      <c r="Q72">
        <v>83.671413999999999</v>
      </c>
      <c r="R72">
        <v>0</v>
      </c>
      <c r="S72">
        <v>10</v>
      </c>
      <c r="T72">
        <v>532.3722661231343</v>
      </c>
    </row>
    <row r="73" spans="1:20" x14ac:dyDescent="0.25">
      <c r="A73" t="s">
        <v>190</v>
      </c>
      <c r="B73">
        <f>VLOOKUP(A73,'Bank Z Score'!$C$12:$P$226,14,FALSE)</f>
        <v>14.50642</v>
      </c>
      <c r="C73">
        <v>42.71</v>
      </c>
      <c r="D73">
        <v>38.14</v>
      </c>
      <c r="E73">
        <v>47.75</v>
      </c>
      <c r="F73">
        <v>33.090000000000003</v>
      </c>
      <c r="G73">
        <v>33.32</v>
      </c>
      <c r="H73">
        <v>34.79</v>
      </c>
      <c r="I73">
        <v>0</v>
      </c>
      <c r="J73">
        <v>0</v>
      </c>
      <c r="K73">
        <v>4</v>
      </c>
      <c r="L73">
        <v>55.599211999191198</v>
      </c>
      <c r="M73">
        <v>8</v>
      </c>
      <c r="N73">
        <v>44.285713195800803</v>
      </c>
      <c r="O73">
        <v>0.35976837788152799</v>
      </c>
      <c r="P73">
        <v>37.681762155494198</v>
      </c>
      <c r="Q73">
        <v>70.764169999999993</v>
      </c>
      <c r="R73">
        <v>0</v>
      </c>
      <c r="S73">
        <v>37</v>
      </c>
      <c r="T73">
        <v>487.49062572836766</v>
      </c>
    </row>
    <row r="74" spans="1:20" x14ac:dyDescent="0.25">
      <c r="A74" t="s">
        <v>56</v>
      </c>
      <c r="B74">
        <f>VLOOKUP(A74,'Bank Z Score'!$C$12:$P$226,14,FALSE)</f>
        <v>14.14526</v>
      </c>
      <c r="C74">
        <v>99.32</v>
      </c>
      <c r="D74">
        <v>100</v>
      </c>
      <c r="E74">
        <v>98.59</v>
      </c>
      <c r="F74">
        <v>98.3</v>
      </c>
      <c r="G74">
        <v>86.48</v>
      </c>
      <c r="H74">
        <v>100</v>
      </c>
      <c r="I74">
        <v>0</v>
      </c>
      <c r="J74">
        <v>0</v>
      </c>
      <c r="K74">
        <v>8</v>
      </c>
      <c r="L74">
        <v>70.010911765241701</v>
      </c>
      <c r="M74">
        <v>11</v>
      </c>
      <c r="N74">
        <v>95.754714965820298</v>
      </c>
      <c r="O74">
        <v>0</v>
      </c>
      <c r="P74">
        <v>0</v>
      </c>
      <c r="Q74">
        <v>93.408546999999999</v>
      </c>
      <c r="R74">
        <v>0</v>
      </c>
      <c r="S74">
        <v>2</v>
      </c>
      <c r="T74">
        <v>862.86417373106201</v>
      </c>
    </row>
    <row r="75" spans="1:20" x14ac:dyDescent="0.25">
      <c r="A75" t="s">
        <v>68</v>
      </c>
      <c r="B75">
        <f>VLOOKUP(A75,'Bank Z Score'!$C$12:$P$226,14,FALSE)</f>
        <v>13.957700000000001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</v>
      </c>
      <c r="L75">
        <v>0</v>
      </c>
      <c r="M75">
        <v>11</v>
      </c>
      <c r="N75">
        <v>89.622642517089801</v>
      </c>
      <c r="O75">
        <v>0</v>
      </c>
      <c r="P75">
        <v>0</v>
      </c>
      <c r="Q75">
        <v>87.200547</v>
      </c>
      <c r="R75">
        <v>0</v>
      </c>
      <c r="S75">
        <v>16</v>
      </c>
      <c r="T75">
        <v>205.82318951708982</v>
      </c>
    </row>
    <row r="76" spans="1:20" x14ac:dyDescent="0.25">
      <c r="A76" t="s">
        <v>128</v>
      </c>
      <c r="B76">
        <f>VLOOKUP(A76,'Bank Z Score'!$C$12:$P$226,14,FALSE)</f>
        <v>13.922420000000001</v>
      </c>
      <c r="C76">
        <v>68.23</v>
      </c>
      <c r="D76">
        <v>62.58</v>
      </c>
      <c r="E76">
        <v>74.180000000000007</v>
      </c>
      <c r="F76">
        <v>54.72</v>
      </c>
      <c r="G76">
        <v>51.59</v>
      </c>
      <c r="H76">
        <v>65.22</v>
      </c>
      <c r="I76">
        <v>0</v>
      </c>
      <c r="J76">
        <v>17</v>
      </c>
      <c r="K76">
        <v>7</v>
      </c>
      <c r="L76">
        <v>0</v>
      </c>
      <c r="M76">
        <v>11</v>
      </c>
      <c r="N76">
        <v>52.830188751220703</v>
      </c>
      <c r="O76">
        <v>0</v>
      </c>
      <c r="P76">
        <v>0</v>
      </c>
      <c r="Q76">
        <v>69.697326000000004</v>
      </c>
      <c r="R76">
        <v>0</v>
      </c>
      <c r="S76">
        <v>13</v>
      </c>
      <c r="T76">
        <v>547.04751475122077</v>
      </c>
    </row>
    <row r="77" spans="1:20" x14ac:dyDescent="0.25">
      <c r="A77" t="s">
        <v>92</v>
      </c>
      <c r="B77">
        <f>VLOOKUP(A77,'Bank Z Score'!$C$12:$P$226,14,FALSE)</f>
        <v>13.85122</v>
      </c>
      <c r="C77">
        <v>99.63</v>
      </c>
      <c r="D77">
        <v>99.51</v>
      </c>
      <c r="E77">
        <v>99.77</v>
      </c>
      <c r="F77">
        <v>99.37</v>
      </c>
      <c r="G77">
        <v>90.16</v>
      </c>
      <c r="H77">
        <v>100</v>
      </c>
      <c r="I77">
        <v>0</v>
      </c>
      <c r="J77">
        <v>0</v>
      </c>
      <c r="K77">
        <v>8</v>
      </c>
      <c r="L77">
        <v>74.554047104154606</v>
      </c>
      <c r="M77">
        <v>10</v>
      </c>
      <c r="N77">
        <v>94.811317443847699</v>
      </c>
      <c r="O77">
        <v>0</v>
      </c>
      <c r="P77">
        <v>0</v>
      </c>
      <c r="Q77">
        <v>91.987767000000005</v>
      </c>
      <c r="R77">
        <v>0</v>
      </c>
      <c r="S77">
        <v>1.5</v>
      </c>
      <c r="T77">
        <v>869.29313154800218</v>
      </c>
    </row>
    <row r="78" spans="1:20" x14ac:dyDescent="0.25">
      <c r="A78" t="s">
        <v>62</v>
      </c>
      <c r="B78">
        <f>VLOOKUP(A78,'Bank Z Score'!$C$12:$P$226,14,FALSE)</f>
        <v>13.22551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</v>
      </c>
      <c r="L78">
        <v>87.390331655946696</v>
      </c>
      <c r="M78">
        <v>12</v>
      </c>
      <c r="N78">
        <v>88.207550048828097</v>
      </c>
      <c r="O78">
        <v>0</v>
      </c>
      <c r="P78">
        <v>0</v>
      </c>
      <c r="Q78">
        <v>82.828462999999999</v>
      </c>
      <c r="R78">
        <v>0</v>
      </c>
      <c r="S78">
        <v>11.5</v>
      </c>
      <c r="T78">
        <v>284.92634470477481</v>
      </c>
    </row>
    <row r="79" spans="1:20" x14ac:dyDescent="0.25">
      <c r="A79" t="s">
        <v>156</v>
      </c>
      <c r="B79">
        <f>VLOOKUP(A79,'Bank Z Score'!$C$12:$P$226,14,FALSE)</f>
        <v>13.169449999999999</v>
      </c>
      <c r="C79">
        <v>97.29</v>
      </c>
      <c r="D79">
        <v>97.09</v>
      </c>
      <c r="E79">
        <v>97.48</v>
      </c>
      <c r="F79">
        <v>94.79</v>
      </c>
      <c r="G79">
        <v>97.25</v>
      </c>
      <c r="H79">
        <v>82.77</v>
      </c>
      <c r="I79">
        <v>0</v>
      </c>
      <c r="J79">
        <v>11.8</v>
      </c>
      <c r="K79">
        <v>7</v>
      </c>
      <c r="L79">
        <v>0</v>
      </c>
      <c r="M79">
        <v>12</v>
      </c>
      <c r="N79">
        <v>68.867927551269503</v>
      </c>
      <c r="O79">
        <v>0</v>
      </c>
      <c r="P79">
        <v>0</v>
      </c>
      <c r="Q79">
        <v>94.055218999999994</v>
      </c>
      <c r="R79">
        <v>0</v>
      </c>
      <c r="S79">
        <v>11</v>
      </c>
      <c r="T79">
        <v>771.39314655126952</v>
      </c>
    </row>
    <row r="80" spans="1:20" x14ac:dyDescent="0.25">
      <c r="A80" t="s">
        <v>216</v>
      </c>
      <c r="B80">
        <f>VLOOKUP(A80,'Bank Z Score'!$C$12:$P$226,14,FALSE)</f>
        <v>13.042299999999999</v>
      </c>
      <c r="C80">
        <v>99.73</v>
      </c>
      <c r="D80">
        <v>99.47</v>
      </c>
      <c r="E80">
        <v>100</v>
      </c>
      <c r="F80">
        <v>99.33</v>
      </c>
      <c r="G80">
        <v>100</v>
      </c>
      <c r="H80">
        <v>98.18</v>
      </c>
      <c r="I80">
        <v>0</v>
      </c>
      <c r="J80">
        <v>0.3</v>
      </c>
      <c r="K80">
        <v>4</v>
      </c>
      <c r="L80">
        <v>0</v>
      </c>
      <c r="M80">
        <v>13</v>
      </c>
      <c r="N80">
        <v>97.142860412597699</v>
      </c>
      <c r="O80">
        <v>0</v>
      </c>
      <c r="P80">
        <v>0</v>
      </c>
      <c r="Q80">
        <v>92.390504000000007</v>
      </c>
      <c r="R80">
        <v>0</v>
      </c>
      <c r="S80">
        <v>3.5</v>
      </c>
      <c r="T80">
        <v>807.04336441259761</v>
      </c>
    </row>
    <row r="81" spans="1:20" x14ac:dyDescent="0.25">
      <c r="A81" t="s">
        <v>160</v>
      </c>
      <c r="B81">
        <f>VLOOKUP(A81,'Bank Z Score'!$C$12:$P$226,14,FALSE)</f>
        <v>12.85732</v>
      </c>
      <c r="C81">
        <v>98.49</v>
      </c>
      <c r="D81">
        <v>98.84</v>
      </c>
      <c r="E81">
        <v>98.12</v>
      </c>
      <c r="F81">
        <v>98.47</v>
      </c>
      <c r="G81">
        <v>94.1</v>
      </c>
      <c r="H81">
        <v>90.23</v>
      </c>
      <c r="I81">
        <v>0</v>
      </c>
      <c r="J81">
        <v>0</v>
      </c>
      <c r="K81">
        <v>7</v>
      </c>
      <c r="L81">
        <v>216.32936485674099</v>
      </c>
      <c r="M81">
        <v>9</v>
      </c>
      <c r="N81">
        <v>90.952377319335895</v>
      </c>
      <c r="O81">
        <v>0</v>
      </c>
      <c r="P81">
        <v>0</v>
      </c>
      <c r="Q81">
        <v>94.569141000000002</v>
      </c>
      <c r="R81">
        <v>0</v>
      </c>
      <c r="S81">
        <v>11.2</v>
      </c>
      <c r="T81">
        <v>1007.3008831760769</v>
      </c>
    </row>
    <row r="82" spans="1:20" x14ac:dyDescent="0.25">
      <c r="A82" t="s">
        <v>66</v>
      </c>
      <c r="B82">
        <f>VLOOKUP(A82,'Bank Z Score'!$C$12:$P$226,14,FALSE)</f>
        <v>12.7788</v>
      </c>
      <c r="C82">
        <v>52.81</v>
      </c>
      <c r="D82">
        <v>43.46</v>
      </c>
      <c r="E82">
        <v>62.86</v>
      </c>
      <c r="F82">
        <v>48.65</v>
      </c>
      <c r="G82">
        <v>46.57</v>
      </c>
      <c r="H82">
        <v>47.8</v>
      </c>
      <c r="I82">
        <v>0</v>
      </c>
      <c r="J82">
        <v>23</v>
      </c>
      <c r="K82">
        <v>6</v>
      </c>
      <c r="L82">
        <v>0</v>
      </c>
      <c r="M82">
        <v>5</v>
      </c>
      <c r="N82">
        <v>18.095237731933601</v>
      </c>
      <c r="O82">
        <v>0</v>
      </c>
      <c r="P82">
        <v>0</v>
      </c>
      <c r="Q82">
        <v>81.950648999999999</v>
      </c>
      <c r="R82">
        <v>0</v>
      </c>
      <c r="S82">
        <v>19.5</v>
      </c>
      <c r="T82">
        <v>455.69588673193357</v>
      </c>
    </row>
    <row r="83" spans="1:20" x14ac:dyDescent="0.25">
      <c r="A83" t="s">
        <v>298</v>
      </c>
      <c r="B83">
        <f>VLOOKUP(A83,'Bank Z Score'!$C$12:$P$226,14,FALSE)</f>
        <v>12.702590000000001</v>
      </c>
      <c r="C83">
        <v>84.39</v>
      </c>
      <c r="D83">
        <v>79.67</v>
      </c>
      <c r="E83">
        <v>89.06</v>
      </c>
      <c r="F83">
        <v>78.209999999999994</v>
      </c>
      <c r="G83">
        <v>83</v>
      </c>
      <c r="H83">
        <v>62.24</v>
      </c>
      <c r="I83">
        <v>0</v>
      </c>
      <c r="J83">
        <v>0</v>
      </c>
      <c r="K83">
        <v>3</v>
      </c>
      <c r="L83">
        <v>0</v>
      </c>
      <c r="M83">
        <v>17</v>
      </c>
      <c r="N83">
        <v>3.8095238208770801</v>
      </c>
      <c r="O83">
        <v>0</v>
      </c>
      <c r="P83">
        <v>0</v>
      </c>
      <c r="Q83">
        <v>83.419809999999998</v>
      </c>
      <c r="R83">
        <v>0</v>
      </c>
      <c r="S83">
        <v>230</v>
      </c>
      <c r="T83">
        <v>813.79933382087711</v>
      </c>
    </row>
    <row r="84" spans="1:20" x14ac:dyDescent="0.25">
      <c r="A84" t="s">
        <v>226</v>
      </c>
      <c r="B84">
        <f>VLOOKUP(A84,'Bank Z Score'!$C$12:$P$226,14,FALSE)</f>
        <v>12.570399999999999</v>
      </c>
      <c r="C84">
        <v>99.48</v>
      </c>
      <c r="D84">
        <v>100</v>
      </c>
      <c r="E84">
        <v>98.98</v>
      </c>
      <c r="F84">
        <v>98.68</v>
      </c>
      <c r="G84">
        <v>97.65</v>
      </c>
      <c r="H84">
        <v>96.37</v>
      </c>
      <c r="I84">
        <v>0</v>
      </c>
      <c r="J84">
        <v>0</v>
      </c>
      <c r="K84">
        <v>7</v>
      </c>
      <c r="L84">
        <v>0</v>
      </c>
      <c r="M84">
        <v>10</v>
      </c>
      <c r="N84">
        <v>99.056602478027301</v>
      </c>
      <c r="O84">
        <v>0</v>
      </c>
      <c r="P84">
        <v>0</v>
      </c>
      <c r="Q84">
        <v>93.937117000000001</v>
      </c>
      <c r="R84">
        <v>0</v>
      </c>
      <c r="S84">
        <v>4</v>
      </c>
      <c r="T84">
        <v>805.15371947802737</v>
      </c>
    </row>
    <row r="85" spans="1:20" x14ac:dyDescent="0.25">
      <c r="A85" t="s">
        <v>76</v>
      </c>
      <c r="B85">
        <f>VLOOKUP(A85,'Bank Z Score'!$C$12:$P$226,14,FALSE)</f>
        <v>12.46007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4</v>
      </c>
      <c r="L85">
        <v>111.007884088239</v>
      </c>
      <c r="M85">
        <v>0</v>
      </c>
      <c r="N85">
        <v>93.333335876464801</v>
      </c>
      <c r="O85">
        <v>0</v>
      </c>
      <c r="P85">
        <v>0</v>
      </c>
      <c r="Q85">
        <v>82.661171999999993</v>
      </c>
      <c r="R85">
        <v>0</v>
      </c>
      <c r="S85">
        <v>12</v>
      </c>
      <c r="T85">
        <v>303.00239196470375</v>
      </c>
    </row>
    <row r="86" spans="1:20" x14ac:dyDescent="0.25">
      <c r="A86" t="s">
        <v>222</v>
      </c>
      <c r="B86">
        <f>VLOOKUP(A86,'Bank Z Score'!$C$12:$P$226,14,FALSE)</f>
        <v>12.19272</v>
      </c>
      <c r="C86">
        <v>45.32</v>
      </c>
      <c r="D86">
        <v>34.96</v>
      </c>
      <c r="E86">
        <v>55.45</v>
      </c>
      <c r="F86">
        <v>32.69</v>
      </c>
      <c r="G86">
        <v>25.8</v>
      </c>
      <c r="H86">
        <v>34.880000000000003</v>
      </c>
      <c r="I86">
        <v>0</v>
      </c>
      <c r="J86">
        <v>0</v>
      </c>
      <c r="K86">
        <v>7</v>
      </c>
      <c r="L86">
        <v>0</v>
      </c>
      <c r="M86">
        <v>9</v>
      </c>
      <c r="N86">
        <v>16.981132507324201</v>
      </c>
      <c r="O86">
        <v>0</v>
      </c>
      <c r="P86">
        <v>0</v>
      </c>
      <c r="Q86">
        <v>48.329746999999998</v>
      </c>
      <c r="R86">
        <v>0</v>
      </c>
      <c r="S86">
        <v>7.2</v>
      </c>
      <c r="T86">
        <v>317.61087950732423</v>
      </c>
    </row>
    <row r="87" spans="1:20" x14ac:dyDescent="0.25">
      <c r="A87" t="s">
        <v>116</v>
      </c>
      <c r="B87">
        <f>VLOOKUP(A87,'Bank Z Score'!$C$12:$P$226,14,FALSE)</f>
        <v>11.555149999999999</v>
      </c>
      <c r="C87">
        <v>46.48</v>
      </c>
      <c r="D87">
        <v>38.74</v>
      </c>
      <c r="E87">
        <v>54.68</v>
      </c>
      <c r="F87">
        <v>34.69</v>
      </c>
      <c r="G87">
        <v>38.97</v>
      </c>
      <c r="H87">
        <v>46.82</v>
      </c>
      <c r="I87">
        <v>0</v>
      </c>
      <c r="J87">
        <v>0</v>
      </c>
      <c r="K87">
        <v>3</v>
      </c>
      <c r="L87">
        <v>31.448848674036402</v>
      </c>
      <c r="M87">
        <v>8</v>
      </c>
      <c r="N87">
        <v>40.476188659667997</v>
      </c>
      <c r="O87">
        <v>0</v>
      </c>
      <c r="P87">
        <v>0</v>
      </c>
      <c r="Q87">
        <v>74.923299999999998</v>
      </c>
      <c r="R87">
        <v>0</v>
      </c>
      <c r="S87">
        <v>32</v>
      </c>
      <c r="T87">
        <v>450.22833733370436</v>
      </c>
    </row>
    <row r="88" spans="1:20" x14ac:dyDescent="0.25">
      <c r="A88" t="s">
        <v>136</v>
      </c>
      <c r="B88">
        <f>VLOOKUP(A88,'Bank Z Score'!$C$12:$P$226,14,FALSE)</f>
        <v>11.54701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0</v>
      </c>
      <c r="M88">
        <v>6</v>
      </c>
      <c r="N88">
        <v>8.5714282989502006</v>
      </c>
      <c r="O88">
        <v>0</v>
      </c>
      <c r="P88">
        <v>0</v>
      </c>
      <c r="Q88">
        <v>70.181115000000005</v>
      </c>
      <c r="R88">
        <v>0</v>
      </c>
      <c r="S88">
        <v>97</v>
      </c>
      <c r="T88">
        <v>183.7525432989502</v>
      </c>
    </row>
    <row r="89" spans="1:20" x14ac:dyDescent="0.25">
      <c r="A89" t="s">
        <v>296</v>
      </c>
      <c r="B89">
        <f>VLOOKUP(A89,'Bank Z Score'!$C$12:$P$226,14,FALSE)</f>
        <v>11.21105</v>
      </c>
      <c r="C89">
        <v>44.13</v>
      </c>
      <c r="D89">
        <v>38.82</v>
      </c>
      <c r="E89">
        <v>50.24</v>
      </c>
      <c r="F89">
        <v>41.5</v>
      </c>
      <c r="G89">
        <v>23.85</v>
      </c>
      <c r="H89">
        <v>24.4</v>
      </c>
      <c r="I89">
        <v>0</v>
      </c>
      <c r="J89">
        <v>5.9</v>
      </c>
      <c r="K89">
        <v>8</v>
      </c>
      <c r="L89">
        <v>0</v>
      </c>
      <c r="M89">
        <v>12</v>
      </c>
      <c r="N89">
        <v>24.5283012390137</v>
      </c>
      <c r="O89">
        <v>0</v>
      </c>
      <c r="P89">
        <v>0</v>
      </c>
      <c r="Q89">
        <v>81.536681000000002</v>
      </c>
      <c r="R89">
        <v>0</v>
      </c>
      <c r="S89">
        <v>3</v>
      </c>
      <c r="T89">
        <v>357.90498223901369</v>
      </c>
    </row>
    <row r="90" spans="1:20" x14ac:dyDescent="0.25">
      <c r="A90" t="s">
        <v>310</v>
      </c>
      <c r="B90">
        <f>VLOOKUP(A90,'Bank Z Score'!$C$12:$P$226,14,FALSE)</f>
        <v>11.01254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14</v>
      </c>
      <c r="N90">
        <v>0</v>
      </c>
      <c r="O90">
        <v>0</v>
      </c>
      <c r="P90">
        <v>0</v>
      </c>
      <c r="Q90">
        <v>90.589427000000001</v>
      </c>
      <c r="R90">
        <v>0</v>
      </c>
      <c r="S90">
        <v>0</v>
      </c>
      <c r="T90">
        <v>104.589427</v>
      </c>
    </row>
    <row r="91" spans="1:20" x14ac:dyDescent="0.25">
      <c r="A91" t="s">
        <v>152</v>
      </c>
      <c r="B91">
        <f>VLOOKUP(A91,'Bank Z Score'!$C$12:$P$226,14,FALSE)</f>
        <v>10.9863</v>
      </c>
      <c r="C91">
        <v>99.66</v>
      </c>
      <c r="D91">
        <v>99.53</v>
      </c>
      <c r="E91">
        <v>99.8</v>
      </c>
      <c r="F91">
        <v>99.29</v>
      </c>
      <c r="G91">
        <v>100</v>
      </c>
      <c r="H91">
        <v>100</v>
      </c>
      <c r="I91">
        <v>0</v>
      </c>
      <c r="J91">
        <v>0.4</v>
      </c>
      <c r="K91">
        <v>9</v>
      </c>
      <c r="L91">
        <v>70.004779005324195</v>
      </c>
      <c r="M91">
        <v>10</v>
      </c>
      <c r="N91">
        <v>93.867927551269503</v>
      </c>
      <c r="O91">
        <v>0</v>
      </c>
      <c r="P91">
        <v>0</v>
      </c>
      <c r="Q91">
        <v>93.042660999999995</v>
      </c>
      <c r="R91">
        <v>0</v>
      </c>
      <c r="S91">
        <v>11</v>
      </c>
      <c r="T91">
        <v>885.5953675565936</v>
      </c>
    </row>
    <row r="92" spans="1:20" x14ac:dyDescent="0.25">
      <c r="A92" t="s">
        <v>196</v>
      </c>
      <c r="B92">
        <f>VLOOKUP(A92,'Bank Z Score'!$C$12:$P$226,14,FALSE)</f>
        <v>10.95238</v>
      </c>
      <c r="C92">
        <v>90.53</v>
      </c>
      <c r="D92">
        <v>89.4</v>
      </c>
      <c r="E92">
        <v>91.74</v>
      </c>
      <c r="F92">
        <v>90.55</v>
      </c>
      <c r="G92">
        <v>85.18</v>
      </c>
      <c r="H92">
        <v>83.62</v>
      </c>
      <c r="I92">
        <v>0</v>
      </c>
      <c r="J92">
        <v>5.7</v>
      </c>
      <c r="K92">
        <v>7</v>
      </c>
      <c r="L92">
        <v>57.961660431002798</v>
      </c>
      <c r="M92">
        <v>12</v>
      </c>
      <c r="N92">
        <v>65.5660400390625</v>
      </c>
      <c r="O92">
        <v>0</v>
      </c>
      <c r="P92">
        <v>0</v>
      </c>
      <c r="Q92">
        <v>85.121872999999994</v>
      </c>
      <c r="R92">
        <v>0</v>
      </c>
      <c r="S92">
        <v>4.5</v>
      </c>
      <c r="T92">
        <v>768.86957347006523</v>
      </c>
    </row>
    <row r="93" spans="1:20" x14ac:dyDescent="0.25">
      <c r="A93" t="s">
        <v>254</v>
      </c>
      <c r="B93">
        <f>VLOOKUP(A93,'Bank Z Score'!$C$12:$P$226,14,FALSE)</f>
        <v>10.3452</v>
      </c>
      <c r="C93">
        <v>89.42</v>
      </c>
      <c r="D93">
        <v>89.83</v>
      </c>
      <c r="E93">
        <v>88.99</v>
      </c>
      <c r="F93">
        <v>84.28</v>
      </c>
      <c r="G93">
        <v>80.42</v>
      </c>
      <c r="H93">
        <v>69.400000000000006</v>
      </c>
      <c r="I93">
        <v>0</v>
      </c>
      <c r="J93">
        <v>6.9</v>
      </c>
      <c r="K93">
        <v>6</v>
      </c>
      <c r="L93">
        <v>0</v>
      </c>
      <c r="M93">
        <v>8</v>
      </c>
      <c r="N93">
        <v>38.207546234130902</v>
      </c>
      <c r="O93">
        <v>0</v>
      </c>
      <c r="P93">
        <v>0</v>
      </c>
      <c r="Q93">
        <v>87.675888999999998</v>
      </c>
      <c r="R93">
        <v>0</v>
      </c>
      <c r="S93">
        <v>7</v>
      </c>
      <c r="T93">
        <v>656.12343523413085</v>
      </c>
    </row>
    <row r="94" spans="1:20" x14ac:dyDescent="0.25">
      <c r="A94" t="s">
        <v>250</v>
      </c>
      <c r="B94">
        <f>VLOOKUP(A94,'Bank Z Score'!$C$12:$P$226,14,FALSE)</f>
        <v>10.34337</v>
      </c>
      <c r="C94">
        <v>69.12</v>
      </c>
      <c r="D94">
        <v>65.739999999999995</v>
      </c>
      <c r="E94">
        <v>72.680000000000007</v>
      </c>
      <c r="F94">
        <v>57.12</v>
      </c>
      <c r="G94">
        <v>37.49</v>
      </c>
      <c r="H94">
        <v>71.92</v>
      </c>
      <c r="I94">
        <v>0</v>
      </c>
      <c r="J94">
        <v>5.4</v>
      </c>
      <c r="K94">
        <v>9</v>
      </c>
      <c r="L94">
        <v>57.143259151253702</v>
      </c>
      <c r="M94">
        <v>10</v>
      </c>
      <c r="N94">
        <v>56.132076263427699</v>
      </c>
      <c r="O94">
        <v>0</v>
      </c>
      <c r="P94">
        <v>0</v>
      </c>
      <c r="Q94">
        <v>87.235363000000007</v>
      </c>
      <c r="R94">
        <v>0</v>
      </c>
      <c r="S94">
        <v>20</v>
      </c>
      <c r="T94">
        <v>618.98069841468146</v>
      </c>
    </row>
    <row r="95" spans="1:20" x14ac:dyDescent="0.25">
      <c r="A95" t="s">
        <v>168</v>
      </c>
      <c r="B95">
        <f>VLOOKUP(A95,'Bank Z Score'!$C$12:$P$226,14,FALSE)</f>
        <v>10.19327</v>
      </c>
      <c r="C95">
        <v>98.67</v>
      </c>
      <c r="D95">
        <v>98.68</v>
      </c>
      <c r="E95">
        <v>98.66</v>
      </c>
      <c r="F95">
        <v>96.89</v>
      </c>
      <c r="G95">
        <v>95.56</v>
      </c>
      <c r="H95">
        <v>98.57</v>
      </c>
      <c r="I95">
        <v>0</v>
      </c>
      <c r="J95">
        <v>0</v>
      </c>
      <c r="K95">
        <v>8</v>
      </c>
      <c r="L95">
        <v>51.1791323198157</v>
      </c>
      <c r="M95">
        <v>9</v>
      </c>
      <c r="N95">
        <v>79.716979980468807</v>
      </c>
      <c r="O95">
        <v>0</v>
      </c>
      <c r="P95">
        <v>0</v>
      </c>
      <c r="Q95">
        <v>96.123594999999995</v>
      </c>
      <c r="R95">
        <v>0</v>
      </c>
      <c r="S95">
        <v>8</v>
      </c>
      <c r="T95">
        <v>839.04970730028458</v>
      </c>
    </row>
    <row r="96" spans="1:20" x14ac:dyDescent="0.25">
      <c r="A96" t="s">
        <v>182</v>
      </c>
      <c r="B96">
        <f>VLOOKUP(A96,'Bank Z Score'!$C$12:$P$226,14,FALSE)</f>
        <v>9.7235469999999999</v>
      </c>
      <c r="C96">
        <v>51.63</v>
      </c>
      <c r="D96">
        <v>44.2</v>
      </c>
      <c r="E96">
        <v>59.34</v>
      </c>
      <c r="F96">
        <v>42.1</v>
      </c>
      <c r="G96">
        <v>42.85</v>
      </c>
      <c r="H96">
        <v>54</v>
      </c>
      <c r="I96">
        <v>0</v>
      </c>
      <c r="J96">
        <v>0</v>
      </c>
      <c r="K96">
        <v>4</v>
      </c>
      <c r="L96">
        <v>0</v>
      </c>
      <c r="M96">
        <v>6</v>
      </c>
      <c r="N96">
        <v>20.754716873168899</v>
      </c>
      <c r="O96">
        <v>0</v>
      </c>
      <c r="P96">
        <v>0</v>
      </c>
      <c r="Q96">
        <v>61.502448000000001</v>
      </c>
      <c r="R96">
        <v>0</v>
      </c>
      <c r="S96">
        <v>18</v>
      </c>
      <c r="T96">
        <v>404.37716487316891</v>
      </c>
    </row>
    <row r="97" spans="1:20" x14ac:dyDescent="0.25">
      <c r="A97" t="s">
        <v>224</v>
      </c>
      <c r="B97">
        <f>VLOOKUP(A97,'Bank Z Score'!$C$12:$P$226,14,FALSE)</f>
        <v>9.5202209999999994</v>
      </c>
      <c r="C97">
        <v>85.29</v>
      </c>
      <c r="D97">
        <v>79.91</v>
      </c>
      <c r="E97">
        <v>90.62</v>
      </c>
      <c r="F97">
        <v>77.69</v>
      </c>
      <c r="G97">
        <v>73.02</v>
      </c>
      <c r="H97">
        <v>74.010000000000005</v>
      </c>
      <c r="I97">
        <v>0</v>
      </c>
      <c r="J97">
        <v>9.6</v>
      </c>
      <c r="K97">
        <v>10</v>
      </c>
      <c r="L97">
        <v>0</v>
      </c>
      <c r="M97">
        <v>13</v>
      </c>
      <c r="N97">
        <v>44.339622497558601</v>
      </c>
      <c r="O97">
        <v>0</v>
      </c>
      <c r="P97">
        <v>0</v>
      </c>
      <c r="Q97">
        <v>89.610557</v>
      </c>
      <c r="R97">
        <v>0</v>
      </c>
      <c r="S97">
        <v>15</v>
      </c>
      <c r="T97">
        <v>662.09017949755855</v>
      </c>
    </row>
    <row r="98" spans="1:20" x14ac:dyDescent="0.25">
      <c r="A98" t="s">
        <v>50</v>
      </c>
      <c r="B98">
        <f>VLOOKUP(A98,'Bank Z Score'!$C$12:$P$226,14,FALSE)</f>
        <v>9.5145660000000003</v>
      </c>
      <c r="C98">
        <v>64.180000000000007</v>
      </c>
      <c r="D98">
        <v>57.95</v>
      </c>
      <c r="E98">
        <v>70.59</v>
      </c>
      <c r="F98">
        <v>59.15</v>
      </c>
      <c r="G98">
        <v>60.21</v>
      </c>
      <c r="H98">
        <v>54.54</v>
      </c>
      <c r="I98">
        <v>0</v>
      </c>
      <c r="J98">
        <v>0</v>
      </c>
      <c r="K98">
        <v>2</v>
      </c>
      <c r="L98">
        <v>0</v>
      </c>
      <c r="M98">
        <v>15</v>
      </c>
      <c r="N98">
        <v>34.761905670166001</v>
      </c>
      <c r="O98">
        <v>4.1750803061073096</v>
      </c>
      <c r="P98">
        <v>35.180797160643003</v>
      </c>
      <c r="Q98">
        <v>86.675416999999996</v>
      </c>
      <c r="R98">
        <v>0</v>
      </c>
      <c r="S98">
        <v>48.5</v>
      </c>
      <c r="T98">
        <v>592.91320013691643</v>
      </c>
    </row>
    <row r="99" spans="1:20" x14ac:dyDescent="0.25">
      <c r="A99" t="s">
        <v>54</v>
      </c>
      <c r="B99">
        <f>VLOOKUP(A99,'Bank Z Score'!$C$12:$P$226,14,FALSE)</f>
        <v>9.0834209999999995</v>
      </c>
      <c r="C99">
        <v>71.63</v>
      </c>
      <c r="D99">
        <v>73.75</v>
      </c>
      <c r="E99">
        <v>69.56</v>
      </c>
      <c r="F99">
        <v>65.23</v>
      </c>
      <c r="G99">
        <v>57.1</v>
      </c>
      <c r="H99">
        <v>75.37</v>
      </c>
      <c r="I99">
        <v>0</v>
      </c>
      <c r="J99">
        <v>0</v>
      </c>
      <c r="K99">
        <v>7</v>
      </c>
      <c r="L99">
        <v>0</v>
      </c>
      <c r="M99">
        <v>14</v>
      </c>
      <c r="N99">
        <v>52.857143402099602</v>
      </c>
      <c r="O99">
        <v>21.880785237053701</v>
      </c>
      <c r="P99">
        <v>41.3987285647448</v>
      </c>
      <c r="Q99">
        <v>86.163347000000002</v>
      </c>
      <c r="R99">
        <v>0</v>
      </c>
      <c r="S99">
        <v>11.5</v>
      </c>
      <c r="T99">
        <v>647.44000420389818</v>
      </c>
    </row>
    <row r="100" spans="1:20" x14ac:dyDescent="0.25">
      <c r="A100" t="s">
        <v>82</v>
      </c>
      <c r="B100">
        <f>VLOOKUP(A100,'Bank Z Score'!$C$12:$P$226,14,FALSE)</f>
        <v>9.0016440000000006</v>
      </c>
      <c r="C100">
        <v>58.76</v>
      </c>
      <c r="D100">
        <v>53.86</v>
      </c>
      <c r="E100">
        <v>64.290000000000006</v>
      </c>
      <c r="F100">
        <v>47.59</v>
      </c>
      <c r="G100">
        <v>43.8</v>
      </c>
      <c r="H100">
        <v>49.72</v>
      </c>
      <c r="I100">
        <v>0</v>
      </c>
      <c r="J100">
        <v>6.1</v>
      </c>
      <c r="K100">
        <v>7</v>
      </c>
      <c r="L100">
        <v>19.6160814562101</v>
      </c>
      <c r="M100">
        <v>0</v>
      </c>
      <c r="N100">
        <v>74.761901855468807</v>
      </c>
      <c r="O100">
        <v>0</v>
      </c>
      <c r="P100">
        <v>0</v>
      </c>
      <c r="Q100">
        <v>74.133132000000003</v>
      </c>
      <c r="R100">
        <v>0</v>
      </c>
      <c r="S100">
        <v>48</v>
      </c>
      <c r="T100">
        <v>547.63111531167897</v>
      </c>
    </row>
    <row r="101" spans="1:20" x14ac:dyDescent="0.25">
      <c r="A101" t="s">
        <v>204</v>
      </c>
      <c r="B101">
        <f>VLOOKUP(A101,'Bank Z Score'!$C$12:$P$226,14,FALSE)</f>
        <v>8.9276440000000008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21.4</v>
      </c>
      <c r="K101">
        <v>5</v>
      </c>
      <c r="L101">
        <v>0</v>
      </c>
      <c r="M101">
        <v>9</v>
      </c>
      <c r="N101">
        <v>54.761905670166001</v>
      </c>
      <c r="O101">
        <v>0</v>
      </c>
      <c r="P101">
        <v>0</v>
      </c>
      <c r="Q101">
        <v>88.705653999999996</v>
      </c>
      <c r="R101">
        <v>0</v>
      </c>
      <c r="S101">
        <v>12</v>
      </c>
      <c r="T101">
        <v>190.86755967016597</v>
      </c>
    </row>
    <row r="102" spans="1:20" x14ac:dyDescent="0.25">
      <c r="A102" t="s">
        <v>300</v>
      </c>
      <c r="B102">
        <f>VLOOKUP(A102,'Bank Z Score'!$C$12:$P$226,14,FALSE)</f>
        <v>8.8560300000000005</v>
      </c>
      <c r="C102">
        <v>48.52</v>
      </c>
      <c r="D102">
        <v>44.98</v>
      </c>
      <c r="E102">
        <v>52.48</v>
      </c>
      <c r="F102">
        <v>32.909999999999997</v>
      </c>
      <c r="G102">
        <v>33.020000000000003</v>
      </c>
      <c r="H102">
        <v>44.51</v>
      </c>
      <c r="I102">
        <v>0</v>
      </c>
      <c r="J102">
        <v>9.6</v>
      </c>
      <c r="K102">
        <v>4</v>
      </c>
      <c r="L102">
        <v>103.54315235027001</v>
      </c>
      <c r="M102">
        <v>7</v>
      </c>
      <c r="N102">
        <v>36.792453765869098</v>
      </c>
      <c r="O102">
        <v>0</v>
      </c>
      <c r="P102">
        <v>0</v>
      </c>
      <c r="Q102">
        <v>71.401929999999993</v>
      </c>
      <c r="R102">
        <v>0</v>
      </c>
      <c r="S102">
        <v>8.5</v>
      </c>
      <c r="T102">
        <v>497.25753611613914</v>
      </c>
    </row>
    <row r="103" spans="1:20" x14ac:dyDescent="0.25">
      <c r="A103" t="s">
        <v>230</v>
      </c>
      <c r="B103">
        <f>VLOOKUP(A103,'Bank Z Score'!$C$12:$P$226,14,FALSE)</f>
        <v>8.8545490000000004</v>
      </c>
      <c r="C103">
        <v>20.98</v>
      </c>
      <c r="D103">
        <v>13.48</v>
      </c>
      <c r="E103">
        <v>28.18</v>
      </c>
      <c r="F103">
        <v>17.61</v>
      </c>
      <c r="G103">
        <v>15.31</v>
      </c>
      <c r="H103">
        <v>18.100000000000001</v>
      </c>
      <c r="I103">
        <v>0</v>
      </c>
      <c r="J103">
        <v>15.9</v>
      </c>
      <c r="K103">
        <v>6</v>
      </c>
      <c r="L103">
        <v>0</v>
      </c>
      <c r="M103">
        <v>12</v>
      </c>
      <c r="N103">
        <v>23.3333339691162</v>
      </c>
      <c r="O103">
        <v>0</v>
      </c>
      <c r="P103">
        <v>0</v>
      </c>
      <c r="Q103">
        <v>75.735977000000005</v>
      </c>
      <c r="R103">
        <v>0</v>
      </c>
      <c r="S103">
        <v>16.5</v>
      </c>
      <c r="T103">
        <v>263.1293109691162</v>
      </c>
    </row>
    <row r="104" spans="1:20" x14ac:dyDescent="0.25">
      <c r="A104" t="s">
        <v>272</v>
      </c>
      <c r="B104">
        <f>VLOOKUP(A104,'Bank Z Score'!$C$12:$P$226,14,FALSE)</f>
        <v>8.7922080000000005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7</v>
      </c>
      <c r="L104">
        <v>0</v>
      </c>
      <c r="M104">
        <v>9</v>
      </c>
      <c r="N104">
        <v>1.42857146263123</v>
      </c>
      <c r="O104">
        <v>0</v>
      </c>
      <c r="P104">
        <v>0</v>
      </c>
      <c r="Q104">
        <v>83.325704999999999</v>
      </c>
      <c r="R104">
        <v>0</v>
      </c>
      <c r="S104">
        <v>15.5</v>
      </c>
      <c r="T104">
        <v>116.25427646263122</v>
      </c>
    </row>
    <row r="105" spans="1:20" x14ac:dyDescent="0.25">
      <c r="A105" t="s">
        <v>200</v>
      </c>
      <c r="B105">
        <f>VLOOKUP(A105,'Bank Z Score'!$C$12:$P$226,14,FALSE)</f>
        <v>8.7229179999999999</v>
      </c>
      <c r="C105">
        <v>64.25</v>
      </c>
      <c r="D105">
        <v>62.92</v>
      </c>
      <c r="E105">
        <v>65.7</v>
      </c>
      <c r="F105">
        <v>54.43</v>
      </c>
      <c r="G105">
        <v>39.950000000000003</v>
      </c>
      <c r="H105">
        <v>63.88</v>
      </c>
      <c r="I105">
        <v>0</v>
      </c>
      <c r="J105">
        <v>11.9</v>
      </c>
      <c r="K105">
        <v>7</v>
      </c>
      <c r="L105">
        <v>34.521317865394899</v>
      </c>
      <c r="M105">
        <v>13</v>
      </c>
      <c r="N105">
        <v>46.698112487792997</v>
      </c>
      <c r="O105">
        <v>0</v>
      </c>
      <c r="P105">
        <v>0</v>
      </c>
      <c r="Q105">
        <v>83.539975999999996</v>
      </c>
      <c r="R105">
        <v>0</v>
      </c>
      <c r="S105">
        <v>4</v>
      </c>
      <c r="T105">
        <v>551.78940635318793</v>
      </c>
    </row>
    <row r="106" spans="1:20" x14ac:dyDescent="0.25">
      <c r="A106" t="s">
        <v>114</v>
      </c>
      <c r="B106">
        <f>VLOOKUP(A106,'Bank Z Score'!$C$12:$P$226,14,FALSE)</f>
        <v>8.4215210000000003</v>
      </c>
      <c r="C106">
        <v>99.38</v>
      </c>
      <c r="D106">
        <v>99.6</v>
      </c>
      <c r="E106">
        <v>99.12</v>
      </c>
      <c r="F106">
        <v>99.46</v>
      </c>
      <c r="G106">
        <v>98.39</v>
      </c>
      <c r="H106">
        <v>100</v>
      </c>
      <c r="I106">
        <v>0</v>
      </c>
      <c r="J106">
        <v>0</v>
      </c>
      <c r="K106">
        <v>8</v>
      </c>
      <c r="L106">
        <v>24.902583651285902</v>
      </c>
      <c r="M106">
        <v>9</v>
      </c>
      <c r="N106">
        <v>92.380950927734403</v>
      </c>
      <c r="O106">
        <v>0</v>
      </c>
      <c r="P106">
        <v>0</v>
      </c>
      <c r="Q106">
        <v>91.100279</v>
      </c>
      <c r="R106">
        <v>0</v>
      </c>
      <c r="S106">
        <v>3.5</v>
      </c>
      <c r="T106">
        <v>824.83381357902033</v>
      </c>
    </row>
    <row r="107" spans="1:20" x14ac:dyDescent="0.25">
      <c r="A107" t="s">
        <v>78</v>
      </c>
      <c r="B107">
        <f>VLOOKUP(A107,'Bank Z Score'!$C$12:$P$226,14,FALSE)</f>
        <v>8.3220639999999992</v>
      </c>
      <c r="C107">
        <v>68.89</v>
      </c>
      <c r="D107">
        <v>63.29</v>
      </c>
      <c r="E107">
        <v>74.040000000000006</v>
      </c>
      <c r="F107">
        <v>56.29</v>
      </c>
      <c r="G107">
        <v>55.39</v>
      </c>
      <c r="H107">
        <v>66.36</v>
      </c>
      <c r="I107">
        <v>0</v>
      </c>
      <c r="J107">
        <v>0</v>
      </c>
      <c r="K107">
        <v>1</v>
      </c>
      <c r="L107">
        <v>0</v>
      </c>
      <c r="M107">
        <v>14</v>
      </c>
      <c r="N107">
        <v>25.7142848968506</v>
      </c>
      <c r="O107">
        <v>1.1835016724816201</v>
      </c>
      <c r="P107">
        <v>97.854020740754905</v>
      </c>
      <c r="Q107">
        <v>73.855091999999999</v>
      </c>
      <c r="R107">
        <v>0</v>
      </c>
      <c r="S107">
        <v>39.5</v>
      </c>
      <c r="T107">
        <v>637.36689931008721</v>
      </c>
    </row>
    <row r="108" spans="1:20" x14ac:dyDescent="0.25">
      <c r="A108" t="s">
        <v>124</v>
      </c>
      <c r="B108">
        <f>VLOOKUP(A108,'Bank Z Score'!$C$12:$P$226,14,FALSE)</f>
        <v>7.9052119999999997</v>
      </c>
      <c r="C108">
        <v>70.5</v>
      </c>
      <c r="D108">
        <v>70.709999999999994</v>
      </c>
      <c r="E108">
        <v>70.25</v>
      </c>
      <c r="F108">
        <v>62.45</v>
      </c>
      <c r="G108">
        <v>41.71</v>
      </c>
      <c r="H108">
        <v>54.54</v>
      </c>
      <c r="I108">
        <v>0</v>
      </c>
      <c r="J108">
        <v>1.3</v>
      </c>
      <c r="K108">
        <v>9</v>
      </c>
      <c r="L108">
        <v>65.193315792644995</v>
      </c>
      <c r="M108">
        <v>9</v>
      </c>
      <c r="N108">
        <v>76.190475463867202</v>
      </c>
      <c r="O108">
        <v>0</v>
      </c>
      <c r="P108">
        <v>65.973896344421107</v>
      </c>
      <c r="Q108">
        <v>87.716818000000004</v>
      </c>
      <c r="R108">
        <v>0</v>
      </c>
      <c r="S108">
        <v>1</v>
      </c>
      <c r="T108">
        <v>685.53450560093324</v>
      </c>
    </row>
    <row r="109" spans="1:20" x14ac:dyDescent="0.25">
      <c r="A109" t="s">
        <v>276</v>
      </c>
      <c r="B109">
        <f>VLOOKUP(A109,'Bank Z Score'!$C$12:$P$226,14,FALSE)</f>
        <v>7.8838290000000004</v>
      </c>
      <c r="C109">
        <v>95.58</v>
      </c>
      <c r="D109">
        <v>92.7</v>
      </c>
      <c r="E109">
        <v>98.61</v>
      </c>
      <c r="F109">
        <v>97.68</v>
      </c>
      <c r="G109">
        <v>93.47</v>
      </c>
      <c r="H109">
        <v>97</v>
      </c>
      <c r="I109">
        <v>0</v>
      </c>
      <c r="J109">
        <v>0</v>
      </c>
      <c r="K109">
        <v>10</v>
      </c>
      <c r="L109">
        <v>61.235648256074398</v>
      </c>
      <c r="M109">
        <v>9</v>
      </c>
      <c r="N109">
        <v>35.849056243896499</v>
      </c>
      <c r="O109">
        <v>11.049456316854</v>
      </c>
      <c r="P109">
        <v>77.210040268291706</v>
      </c>
      <c r="Q109">
        <v>87.878264999999999</v>
      </c>
      <c r="R109">
        <v>0</v>
      </c>
      <c r="S109">
        <v>6</v>
      </c>
      <c r="T109">
        <v>873.26246608511656</v>
      </c>
    </row>
    <row r="110" spans="1:20" x14ac:dyDescent="0.25">
      <c r="A110" t="s">
        <v>86</v>
      </c>
      <c r="B110">
        <f>VLOOKUP(A110,'Bank Z Score'!$C$12:$P$226,14,FALSE)</f>
        <v>7.8693369999999998</v>
      </c>
      <c r="C110">
        <v>83.97</v>
      </c>
      <c r="D110">
        <v>84.32</v>
      </c>
      <c r="E110">
        <v>83.59</v>
      </c>
      <c r="F110">
        <v>73.87</v>
      </c>
      <c r="G110">
        <v>70.95</v>
      </c>
      <c r="H110">
        <v>88.62</v>
      </c>
      <c r="I110">
        <v>0</v>
      </c>
      <c r="J110">
        <v>10</v>
      </c>
      <c r="K110">
        <v>10</v>
      </c>
      <c r="L110">
        <v>32.749223603340901</v>
      </c>
      <c r="M110">
        <v>11</v>
      </c>
      <c r="N110">
        <v>50</v>
      </c>
      <c r="O110">
        <v>0</v>
      </c>
      <c r="P110">
        <v>0</v>
      </c>
      <c r="Q110">
        <v>86.762874999999994</v>
      </c>
      <c r="R110">
        <v>0</v>
      </c>
      <c r="S110">
        <v>23</v>
      </c>
      <c r="T110">
        <v>708.83209860334091</v>
      </c>
    </row>
    <row r="111" spans="1:20" x14ac:dyDescent="0.25">
      <c r="A111" t="s">
        <v>64</v>
      </c>
      <c r="B111">
        <f>VLOOKUP(A111,'Bank Z Score'!$C$12:$P$226,14,FALSE)</f>
        <v>7.8142750000000003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8</v>
      </c>
      <c r="L111">
        <v>111.598089477141</v>
      </c>
      <c r="M111">
        <v>9</v>
      </c>
      <c r="N111">
        <v>59.433963775634801</v>
      </c>
      <c r="O111">
        <v>0</v>
      </c>
      <c r="P111">
        <v>0</v>
      </c>
      <c r="Q111">
        <v>91.180304000000007</v>
      </c>
      <c r="R111">
        <v>0</v>
      </c>
      <c r="S111">
        <v>8.3000000000000007</v>
      </c>
      <c r="T111">
        <v>287.51235725277581</v>
      </c>
    </row>
    <row r="112" spans="1:20" x14ac:dyDescent="0.25">
      <c r="A112" t="s">
        <v>210</v>
      </c>
      <c r="B112">
        <f>VLOOKUP(A112,'Bank Z Score'!$C$12:$P$226,14,FALSE)</f>
        <v>7.5942829999999999</v>
      </c>
      <c r="C112">
        <v>47.79</v>
      </c>
      <c r="D112">
        <v>46.15</v>
      </c>
      <c r="E112">
        <v>49.52</v>
      </c>
      <c r="F112">
        <v>32.99</v>
      </c>
      <c r="G112">
        <v>26.25</v>
      </c>
      <c r="H112">
        <v>55.68</v>
      </c>
      <c r="I112">
        <v>0</v>
      </c>
      <c r="J112">
        <v>0</v>
      </c>
      <c r="K112">
        <v>4</v>
      </c>
      <c r="L112">
        <v>0</v>
      </c>
      <c r="M112">
        <v>5</v>
      </c>
      <c r="N112">
        <v>30</v>
      </c>
      <c r="O112">
        <v>0</v>
      </c>
      <c r="P112">
        <v>0</v>
      </c>
      <c r="Q112">
        <v>74.308790000000002</v>
      </c>
      <c r="R112">
        <v>0</v>
      </c>
      <c r="S112">
        <v>7</v>
      </c>
      <c r="T112">
        <v>378.68878999999998</v>
      </c>
    </row>
    <row r="113" spans="1:20" x14ac:dyDescent="0.25">
      <c r="A113" t="s">
        <v>94</v>
      </c>
      <c r="B113">
        <f>VLOOKUP(A113,'Bank Z Score'!$C$12:$P$226,14,FALSE)</f>
        <v>7.4464389999999998</v>
      </c>
      <c r="C113">
        <v>87.06</v>
      </c>
      <c r="D113">
        <v>86.62</v>
      </c>
      <c r="E113">
        <v>87.56</v>
      </c>
      <c r="F113">
        <v>86.43</v>
      </c>
      <c r="G113">
        <v>68.849999999999994</v>
      </c>
      <c r="H113">
        <v>90</v>
      </c>
      <c r="I113">
        <v>0</v>
      </c>
      <c r="J113">
        <v>0</v>
      </c>
      <c r="K113">
        <v>8</v>
      </c>
      <c r="L113">
        <v>0</v>
      </c>
      <c r="M113">
        <v>12</v>
      </c>
      <c r="N113">
        <v>82.857139587402301</v>
      </c>
      <c r="O113">
        <v>39.588046796341303</v>
      </c>
      <c r="P113">
        <v>63.4004438871983</v>
      </c>
      <c r="Q113">
        <v>90.014143000000004</v>
      </c>
      <c r="R113">
        <v>0</v>
      </c>
      <c r="S113">
        <v>4</v>
      </c>
      <c r="T113">
        <v>806.379773270942</v>
      </c>
    </row>
    <row r="114" spans="1:20" x14ac:dyDescent="0.25">
      <c r="A114" t="s">
        <v>104</v>
      </c>
      <c r="B114">
        <f>VLOOKUP(A114,'Bank Z Score'!$C$12:$P$226,14,FALSE)</f>
        <v>7.3926290000000003</v>
      </c>
      <c r="C114">
        <v>91.8</v>
      </c>
      <c r="D114">
        <v>89.96</v>
      </c>
      <c r="E114">
        <v>93.93</v>
      </c>
      <c r="F114">
        <v>84.46</v>
      </c>
      <c r="G114">
        <v>80.25</v>
      </c>
      <c r="H114">
        <v>76.11</v>
      </c>
      <c r="I114">
        <v>0</v>
      </c>
      <c r="J114">
        <v>10.1</v>
      </c>
      <c r="K114">
        <v>5</v>
      </c>
      <c r="L114">
        <v>98.4395620234109</v>
      </c>
      <c r="M114">
        <v>8</v>
      </c>
      <c r="N114">
        <v>59.9056587219238</v>
      </c>
      <c r="O114">
        <v>0</v>
      </c>
      <c r="P114">
        <v>0</v>
      </c>
      <c r="Q114">
        <v>91.201190999999994</v>
      </c>
      <c r="R114">
        <v>0</v>
      </c>
      <c r="S114">
        <v>19.5</v>
      </c>
      <c r="T114">
        <v>808.65641174533471</v>
      </c>
    </row>
    <row r="115" spans="1:20" x14ac:dyDescent="0.25">
      <c r="A115" t="s">
        <v>176</v>
      </c>
      <c r="B115">
        <f>VLOOKUP(A115,'Bank Z Score'!$C$12:$P$226,14,FALSE)</f>
        <v>7.1141529999999999</v>
      </c>
      <c r="C115">
        <v>96.62</v>
      </c>
      <c r="D115">
        <v>97.55</v>
      </c>
      <c r="E115">
        <v>95.51</v>
      </c>
      <c r="F115">
        <v>94.06</v>
      </c>
      <c r="G115">
        <v>90.98</v>
      </c>
      <c r="H115">
        <v>94.33</v>
      </c>
      <c r="I115">
        <v>0</v>
      </c>
      <c r="J115">
        <v>2</v>
      </c>
      <c r="K115">
        <v>5</v>
      </c>
      <c r="L115">
        <v>0</v>
      </c>
      <c r="M115">
        <v>11</v>
      </c>
      <c r="N115">
        <v>76.190475463867202</v>
      </c>
      <c r="O115">
        <v>0</v>
      </c>
      <c r="P115">
        <v>0</v>
      </c>
      <c r="Q115">
        <v>87.363545000000002</v>
      </c>
      <c r="R115">
        <v>0</v>
      </c>
      <c r="S115">
        <v>5.5</v>
      </c>
      <c r="T115">
        <v>756.1040204638673</v>
      </c>
    </row>
    <row r="116" spans="1:20" x14ac:dyDescent="0.25">
      <c r="A116" t="s">
        <v>142</v>
      </c>
      <c r="B116">
        <f>VLOOKUP(A116,'Bank Z Score'!$C$12:$P$226,14,FALSE)</f>
        <v>7.0742539999999998</v>
      </c>
      <c r="C116">
        <v>88.22</v>
      </c>
      <c r="D116">
        <v>86.88</v>
      </c>
      <c r="E116">
        <v>89.73</v>
      </c>
      <c r="F116">
        <v>81.25</v>
      </c>
      <c r="G116">
        <v>71.58</v>
      </c>
      <c r="H116">
        <v>92.49</v>
      </c>
      <c r="I116">
        <v>0</v>
      </c>
      <c r="J116">
        <v>4.7</v>
      </c>
      <c r="K116">
        <v>2</v>
      </c>
      <c r="L116">
        <v>95.937202249321601</v>
      </c>
      <c r="M116">
        <v>13</v>
      </c>
      <c r="N116">
        <v>58.5714302062988</v>
      </c>
      <c r="O116">
        <v>0</v>
      </c>
      <c r="P116">
        <v>0</v>
      </c>
      <c r="Q116">
        <v>87.281903</v>
      </c>
      <c r="R116">
        <v>0</v>
      </c>
      <c r="S116">
        <v>7</v>
      </c>
      <c r="T116">
        <v>778.64053545562047</v>
      </c>
    </row>
    <row r="117" spans="1:20" x14ac:dyDescent="0.25">
      <c r="A117" t="s">
        <v>208</v>
      </c>
      <c r="B117">
        <f>VLOOKUP(A117,'Bank Z Score'!$C$12:$P$226,14,FALSE)</f>
        <v>7.0624719999999996</v>
      </c>
      <c r="C117">
        <v>49.49</v>
      </c>
      <c r="D117">
        <v>38.69</v>
      </c>
      <c r="E117">
        <v>61</v>
      </c>
      <c r="F117">
        <v>34.479999999999997</v>
      </c>
      <c r="G117">
        <v>39.11</v>
      </c>
      <c r="H117">
        <v>49.43</v>
      </c>
      <c r="I117">
        <v>0</v>
      </c>
      <c r="J117">
        <v>0</v>
      </c>
      <c r="K117">
        <v>5</v>
      </c>
      <c r="L117">
        <v>101.39093176388801</v>
      </c>
      <c r="M117">
        <v>0</v>
      </c>
      <c r="N117">
        <v>24.761905670166001</v>
      </c>
      <c r="O117">
        <v>0</v>
      </c>
      <c r="P117">
        <v>0</v>
      </c>
      <c r="Q117">
        <v>68.419985999999994</v>
      </c>
      <c r="R117">
        <v>0</v>
      </c>
      <c r="S117">
        <v>17</v>
      </c>
      <c r="T117">
        <v>488.77282343405398</v>
      </c>
    </row>
    <row r="118" spans="1:20" x14ac:dyDescent="0.25">
      <c r="A118" t="s">
        <v>240</v>
      </c>
      <c r="B118">
        <f>VLOOKUP(A118,'Bank Z Score'!$C$12:$P$226,14,FALSE)</f>
        <v>7.0480280000000004</v>
      </c>
      <c r="C118">
        <v>95.72</v>
      </c>
      <c r="D118">
        <v>95.69</v>
      </c>
      <c r="E118">
        <v>95.75</v>
      </c>
      <c r="F118">
        <v>93.92</v>
      </c>
      <c r="G118">
        <v>71.31</v>
      </c>
      <c r="H118">
        <v>98.05</v>
      </c>
      <c r="I118">
        <v>0</v>
      </c>
      <c r="J118">
        <v>2.8</v>
      </c>
      <c r="K118">
        <v>7</v>
      </c>
      <c r="L118">
        <v>0</v>
      </c>
      <c r="M118">
        <v>10</v>
      </c>
      <c r="N118">
        <v>72.380950927734403</v>
      </c>
      <c r="O118">
        <v>0</v>
      </c>
      <c r="P118">
        <v>0</v>
      </c>
      <c r="Q118">
        <v>89.859453999999999</v>
      </c>
      <c r="R118">
        <v>0</v>
      </c>
      <c r="S118">
        <v>37</v>
      </c>
      <c r="T118">
        <v>769.4804049277343</v>
      </c>
    </row>
    <row r="119" spans="1:20" x14ac:dyDescent="0.25">
      <c r="A119" t="s">
        <v>246</v>
      </c>
      <c r="B119">
        <f>VLOOKUP(A119,'Bank Z Score'!$C$12:$P$226,14,FALSE)</f>
        <v>6.8660059999999996</v>
      </c>
      <c r="C119">
        <v>89.72</v>
      </c>
      <c r="D119">
        <v>90.11</v>
      </c>
      <c r="E119">
        <v>89.26</v>
      </c>
      <c r="F119">
        <v>85.81</v>
      </c>
      <c r="G119">
        <v>82.29</v>
      </c>
      <c r="H119">
        <v>93.49</v>
      </c>
      <c r="I119">
        <v>0</v>
      </c>
      <c r="J119">
        <v>26.8</v>
      </c>
      <c r="K119">
        <v>6</v>
      </c>
      <c r="L119">
        <v>22.992021036968001</v>
      </c>
      <c r="M119">
        <v>11</v>
      </c>
      <c r="N119">
        <v>23.809524536132798</v>
      </c>
      <c r="O119">
        <v>0</v>
      </c>
      <c r="P119">
        <v>0</v>
      </c>
      <c r="Q119">
        <v>84.132901000000004</v>
      </c>
      <c r="R119">
        <v>0</v>
      </c>
      <c r="S119">
        <v>10.1</v>
      </c>
      <c r="T119">
        <v>715.51444657310083</v>
      </c>
    </row>
    <row r="120" spans="1:20" x14ac:dyDescent="0.25">
      <c r="A120" t="s">
        <v>130</v>
      </c>
      <c r="B120">
        <f>VLOOKUP(A120,'Bank Z Score'!$C$12:$P$226,14,FALSE)</f>
        <v>6.6419980000000001</v>
      </c>
      <c r="C120">
        <v>94.88</v>
      </c>
      <c r="D120">
        <v>93.43</v>
      </c>
      <c r="E120">
        <v>96.33</v>
      </c>
      <c r="F120">
        <v>91.64</v>
      </c>
      <c r="G120">
        <v>91.83</v>
      </c>
      <c r="H120">
        <v>90.14</v>
      </c>
      <c r="I120">
        <v>0</v>
      </c>
      <c r="J120">
        <v>5.5</v>
      </c>
      <c r="K120">
        <v>9</v>
      </c>
      <c r="L120">
        <v>249.411353803704</v>
      </c>
      <c r="M120">
        <v>10</v>
      </c>
      <c r="N120">
        <v>59.523811340332003</v>
      </c>
      <c r="O120">
        <v>0</v>
      </c>
      <c r="P120">
        <v>0</v>
      </c>
      <c r="Q120">
        <v>93.564454999999995</v>
      </c>
      <c r="R120">
        <v>0</v>
      </c>
      <c r="S120">
        <v>4</v>
      </c>
      <c r="T120">
        <v>989.24962014403604</v>
      </c>
    </row>
    <row r="121" spans="1:20" x14ac:dyDescent="0.25">
      <c r="A121" t="s">
        <v>294</v>
      </c>
      <c r="B121">
        <f>VLOOKUP(A121,'Bank Z Score'!$C$12:$P$226,14,FALSE)</f>
        <v>6.0761029999999998</v>
      </c>
      <c r="C121">
        <v>74.13</v>
      </c>
      <c r="D121">
        <v>75.73</v>
      </c>
      <c r="E121">
        <v>72.349999999999994</v>
      </c>
      <c r="F121">
        <v>63.23</v>
      </c>
      <c r="G121">
        <v>65.36</v>
      </c>
      <c r="H121">
        <v>59.46</v>
      </c>
      <c r="I121">
        <v>0</v>
      </c>
      <c r="J121">
        <v>0</v>
      </c>
      <c r="K121">
        <v>3</v>
      </c>
      <c r="L121">
        <v>60.278431865455403</v>
      </c>
      <c r="M121">
        <v>14</v>
      </c>
      <c r="N121">
        <v>92.452827453613295</v>
      </c>
      <c r="O121">
        <v>21.634540285544698</v>
      </c>
      <c r="P121">
        <v>59.535378657606998</v>
      </c>
      <c r="Q121">
        <v>87.813433000000003</v>
      </c>
      <c r="R121">
        <v>0</v>
      </c>
      <c r="S121">
        <v>6.5</v>
      </c>
      <c r="T121">
        <v>755.47461126222049</v>
      </c>
    </row>
    <row r="122" spans="1:20" x14ac:dyDescent="0.25">
      <c r="A122" t="s">
        <v>148</v>
      </c>
      <c r="B122">
        <f>VLOOKUP(A122,'Bank Z Score'!$C$12:$P$226,14,FALSE)</f>
        <v>5.2745839999999999</v>
      </c>
      <c r="C122">
        <v>51.76</v>
      </c>
      <c r="D122">
        <v>52.3</v>
      </c>
      <c r="E122">
        <v>51.18</v>
      </c>
      <c r="F122">
        <v>46.93</v>
      </c>
      <c r="G122">
        <v>40.49</v>
      </c>
      <c r="H122">
        <v>54.64</v>
      </c>
      <c r="I122">
        <v>0</v>
      </c>
      <c r="J122">
        <v>20.3</v>
      </c>
      <c r="K122">
        <v>10</v>
      </c>
      <c r="L122">
        <v>45.336556933899601</v>
      </c>
      <c r="M122">
        <v>9</v>
      </c>
      <c r="N122">
        <v>37.264152526855497</v>
      </c>
      <c r="O122">
        <v>3.7915775874113198</v>
      </c>
      <c r="P122">
        <v>43.8656004035671</v>
      </c>
      <c r="Q122">
        <v>78.013812000000001</v>
      </c>
      <c r="R122">
        <v>0</v>
      </c>
      <c r="S122">
        <v>12.6</v>
      </c>
      <c r="T122">
        <v>557.47169945173357</v>
      </c>
    </row>
    <row r="123" spans="1:20" x14ac:dyDescent="0.25">
      <c r="A123" t="s">
        <v>286</v>
      </c>
      <c r="B123">
        <f>VLOOKUP(A123,'Bank Z Score'!$C$12:$P$226,14,FALSE)</f>
        <v>5.1844590000000004</v>
      </c>
      <c r="C123">
        <v>83.56</v>
      </c>
      <c r="D123">
        <v>80.69</v>
      </c>
      <c r="E123">
        <v>87.07</v>
      </c>
      <c r="F123">
        <v>79.73</v>
      </c>
      <c r="G123">
        <v>44.94</v>
      </c>
      <c r="H123">
        <v>90.89</v>
      </c>
      <c r="I123">
        <v>0</v>
      </c>
      <c r="J123">
        <v>37.4</v>
      </c>
      <c r="K123">
        <v>9</v>
      </c>
      <c r="L123">
        <v>58.716185073232602</v>
      </c>
      <c r="M123">
        <v>11</v>
      </c>
      <c r="N123">
        <v>29.245283126831101</v>
      </c>
      <c r="O123">
        <v>59.606289785485203</v>
      </c>
      <c r="P123">
        <v>36.7526966901492</v>
      </c>
      <c r="Q123">
        <v>86.119178000000005</v>
      </c>
      <c r="R123">
        <v>0</v>
      </c>
      <c r="S123">
        <v>6.5</v>
      </c>
      <c r="T123">
        <v>801.21963267569799</v>
      </c>
    </row>
    <row r="124" spans="1:20" x14ac:dyDescent="0.25">
      <c r="A124" t="s">
        <v>184</v>
      </c>
      <c r="B124">
        <f>VLOOKUP(A124,'Bank Z Score'!$C$12:$P$226,14,FALSE)</f>
        <v>5.1224340000000002</v>
      </c>
      <c r="C124">
        <v>93.53</v>
      </c>
      <c r="D124">
        <v>90.38</v>
      </c>
      <c r="E124">
        <v>96.99</v>
      </c>
      <c r="F124">
        <v>91.33</v>
      </c>
      <c r="G124">
        <v>74.08</v>
      </c>
      <c r="H124">
        <v>92.02</v>
      </c>
      <c r="I124">
        <v>0</v>
      </c>
      <c r="J124">
        <v>0.2</v>
      </c>
      <c r="K124">
        <v>7</v>
      </c>
      <c r="L124">
        <v>52.452434373952201</v>
      </c>
      <c r="M124">
        <v>11</v>
      </c>
      <c r="N124">
        <v>79.523811340332003</v>
      </c>
      <c r="O124">
        <v>0</v>
      </c>
      <c r="P124">
        <v>0</v>
      </c>
      <c r="Q124">
        <v>88.670056000000002</v>
      </c>
      <c r="R124">
        <v>0</v>
      </c>
      <c r="S124">
        <v>5.5</v>
      </c>
      <c r="T124">
        <v>782.67630171428425</v>
      </c>
    </row>
    <row r="125" spans="1:20" x14ac:dyDescent="0.25">
      <c r="A125" t="s">
        <v>60</v>
      </c>
      <c r="B125">
        <f>VLOOKUP(A125,'Bank Z Score'!$C$12:$P$226,14,FALSE)</f>
        <v>4.7446820000000001</v>
      </c>
      <c r="C125">
        <v>46.26</v>
      </c>
      <c r="D125">
        <v>38.840000000000003</v>
      </c>
      <c r="E125">
        <v>54.59</v>
      </c>
      <c r="F125">
        <v>35.58</v>
      </c>
      <c r="G125">
        <v>30.61</v>
      </c>
      <c r="H125">
        <v>36.380000000000003</v>
      </c>
      <c r="I125">
        <v>0</v>
      </c>
      <c r="J125">
        <v>12.1</v>
      </c>
      <c r="K125">
        <v>10</v>
      </c>
      <c r="L125">
        <v>22.189999462647801</v>
      </c>
      <c r="M125">
        <v>10</v>
      </c>
      <c r="N125">
        <v>22.857143402099599</v>
      </c>
      <c r="O125">
        <v>0</v>
      </c>
      <c r="P125">
        <v>0</v>
      </c>
      <c r="Q125">
        <v>85.660171000000005</v>
      </c>
      <c r="R125">
        <v>0</v>
      </c>
      <c r="S125">
        <v>3.5</v>
      </c>
      <c r="T125">
        <v>408.5673138647474</v>
      </c>
    </row>
    <row r="126" spans="1:20" x14ac:dyDescent="0.25">
      <c r="A126" t="s">
        <v>260</v>
      </c>
      <c r="B126">
        <f>VLOOKUP(A126,'Bank Z Score'!$C$12:$P$226,14,FALSE)</f>
        <v>4.4850820000000002</v>
      </c>
      <c r="C126">
        <v>99.05</v>
      </c>
      <c r="D126">
        <v>98.15</v>
      </c>
      <c r="E126">
        <v>100</v>
      </c>
      <c r="F126">
        <v>97.62</v>
      </c>
      <c r="G126">
        <v>96.81</v>
      </c>
      <c r="H126">
        <v>100</v>
      </c>
      <c r="I126">
        <v>0</v>
      </c>
      <c r="J126">
        <v>1.8</v>
      </c>
      <c r="K126">
        <v>5</v>
      </c>
      <c r="L126">
        <v>0</v>
      </c>
      <c r="M126">
        <v>9</v>
      </c>
      <c r="N126">
        <v>80</v>
      </c>
      <c r="O126">
        <v>0</v>
      </c>
      <c r="P126">
        <v>0</v>
      </c>
      <c r="Q126">
        <v>93.232579999999999</v>
      </c>
      <c r="R126">
        <v>0</v>
      </c>
      <c r="S126">
        <v>8</v>
      </c>
      <c r="T126">
        <v>788.66257999999993</v>
      </c>
    </row>
    <row r="127" spans="1:20" x14ac:dyDescent="0.25">
      <c r="A127" t="s">
        <v>98</v>
      </c>
      <c r="B127">
        <f>VLOOKUP(A127,'Bank Z Score'!$C$12:$P$226,14,FALSE)</f>
        <v>4.3203849999999999</v>
      </c>
      <c r="C127">
        <v>59.72</v>
      </c>
      <c r="D127">
        <v>56.2</v>
      </c>
      <c r="E127">
        <v>63.51</v>
      </c>
      <c r="F127">
        <v>47.67</v>
      </c>
      <c r="G127">
        <v>48.08</v>
      </c>
      <c r="H127">
        <v>50</v>
      </c>
      <c r="I127">
        <v>0</v>
      </c>
      <c r="J127">
        <v>2.7</v>
      </c>
      <c r="K127">
        <v>9</v>
      </c>
      <c r="L127">
        <v>91.156606944973603</v>
      </c>
      <c r="M127">
        <v>12</v>
      </c>
      <c r="N127">
        <v>46.190475463867202</v>
      </c>
      <c r="O127">
        <v>0.57035338692373205</v>
      </c>
      <c r="P127">
        <v>21.237227253477698</v>
      </c>
      <c r="Q127">
        <v>88.044751000000005</v>
      </c>
      <c r="R127">
        <v>0</v>
      </c>
      <c r="S127">
        <v>10</v>
      </c>
      <c r="T127">
        <v>606.07941404924225</v>
      </c>
    </row>
    <row r="128" spans="1:20" x14ac:dyDescent="0.25">
      <c r="A128" t="s">
        <v>164</v>
      </c>
      <c r="B128">
        <f>VLOOKUP(A128,'Bank Z Score'!$C$12:$P$226,14,FALSE)</f>
        <v>2.9506830000000002</v>
      </c>
      <c r="C128">
        <v>81.11</v>
      </c>
      <c r="D128">
        <v>83.63</v>
      </c>
      <c r="E128">
        <v>78.290000000000006</v>
      </c>
      <c r="F128">
        <v>82.08</v>
      </c>
      <c r="G128">
        <v>61.88</v>
      </c>
      <c r="H128">
        <v>73.55</v>
      </c>
      <c r="I128">
        <v>0</v>
      </c>
      <c r="J128">
        <v>11.6</v>
      </c>
      <c r="K128">
        <v>9</v>
      </c>
      <c r="L128">
        <v>23.715760502438101</v>
      </c>
      <c r="M128">
        <v>9</v>
      </c>
      <c r="N128">
        <v>48.584907531738303</v>
      </c>
      <c r="O128">
        <v>0</v>
      </c>
      <c r="P128">
        <v>0</v>
      </c>
      <c r="Q128">
        <v>85.488133000000005</v>
      </c>
      <c r="R128">
        <v>0</v>
      </c>
      <c r="S128">
        <v>5</v>
      </c>
      <c r="T128">
        <v>652.92880103417656</v>
      </c>
    </row>
    <row r="129" spans="1:20" x14ac:dyDescent="0.25">
      <c r="A129" t="s">
        <v>144</v>
      </c>
      <c r="B129">
        <f>VLOOKUP(A129,'Bank Z Score'!$C$12:$P$226,14,FALSE)</f>
        <v>1.276241</v>
      </c>
      <c r="C129">
        <v>100</v>
      </c>
      <c r="D129">
        <v>100</v>
      </c>
      <c r="E129">
        <v>100</v>
      </c>
      <c r="F129">
        <v>100</v>
      </c>
      <c r="G129">
        <v>100</v>
      </c>
      <c r="H129">
        <v>100</v>
      </c>
      <c r="I129">
        <v>0</v>
      </c>
      <c r="J129">
        <v>0</v>
      </c>
      <c r="K129">
        <v>7</v>
      </c>
      <c r="L129">
        <v>100.316262095676</v>
      </c>
      <c r="M129">
        <v>10</v>
      </c>
      <c r="N129">
        <v>95.238098144531193</v>
      </c>
      <c r="O129">
        <v>0</v>
      </c>
      <c r="P129">
        <v>0</v>
      </c>
      <c r="Q129">
        <v>93.233912000000004</v>
      </c>
      <c r="R129">
        <v>0</v>
      </c>
      <c r="S129">
        <v>11.5</v>
      </c>
      <c r="T129">
        <v>917.28827224020722</v>
      </c>
    </row>
  </sheetData>
  <autoFilter ref="A1:T1" xr:uid="{168ECB5C-E777-4C69-AF81-1F14F918C805}">
    <sortState xmlns:xlrd2="http://schemas.microsoft.com/office/spreadsheetml/2017/richdata2" ref="A2:T129">
      <sortCondition descending="1"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17AF-7FAB-4D34-9290-A94AB0AF9BA2}">
  <dimension ref="A1:J2199"/>
  <sheetViews>
    <sheetView workbookViewId="0">
      <selection activeCell="A2194" sqref="A1:J2194"/>
    </sheetView>
  </sheetViews>
  <sheetFormatPr defaultRowHeight="15" x14ac:dyDescent="0.25"/>
  <cols>
    <col min="3" max="3" width="20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304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G2">
        <v>9.65</v>
      </c>
      <c r="J2">
        <f>MAX(E2:I2)</f>
        <v>9.65</v>
      </c>
    </row>
    <row r="3" spans="1:10" x14ac:dyDescent="0.25">
      <c r="A3" t="s">
        <v>9</v>
      </c>
      <c r="B3" t="s">
        <v>10</v>
      </c>
      <c r="C3" t="s">
        <v>14</v>
      </c>
      <c r="D3" t="s">
        <v>15</v>
      </c>
      <c r="G3">
        <v>4.7</v>
      </c>
      <c r="J3">
        <f t="shared" ref="J3:J66" si="0">MAX(E3:I3)</f>
        <v>4.7</v>
      </c>
    </row>
    <row r="4" spans="1:10" x14ac:dyDescent="0.25">
      <c r="A4" t="s">
        <v>9</v>
      </c>
      <c r="B4" t="s">
        <v>10</v>
      </c>
      <c r="C4" t="s">
        <v>16</v>
      </c>
      <c r="D4" t="s">
        <v>17</v>
      </c>
      <c r="G4">
        <v>14.79</v>
      </c>
      <c r="J4">
        <f t="shared" si="0"/>
        <v>14.79</v>
      </c>
    </row>
    <row r="5" spans="1:10" x14ac:dyDescent="0.25">
      <c r="A5" t="s">
        <v>9</v>
      </c>
      <c r="B5" t="s">
        <v>10</v>
      </c>
      <c r="C5" t="s">
        <v>18</v>
      </c>
      <c r="D5" t="s">
        <v>19</v>
      </c>
      <c r="G5">
        <v>5.86</v>
      </c>
      <c r="J5">
        <f t="shared" si="0"/>
        <v>5.86</v>
      </c>
    </row>
    <row r="6" spans="1:10" x14ac:dyDescent="0.25">
      <c r="A6" t="s">
        <v>9</v>
      </c>
      <c r="B6" t="s">
        <v>10</v>
      </c>
      <c r="C6" t="s">
        <v>20</v>
      </c>
      <c r="D6" t="s">
        <v>21</v>
      </c>
      <c r="G6">
        <v>7.55</v>
      </c>
      <c r="J6">
        <f t="shared" si="0"/>
        <v>7.55</v>
      </c>
    </row>
    <row r="7" spans="1:10" x14ac:dyDescent="0.25">
      <c r="A7" t="s">
        <v>9</v>
      </c>
      <c r="B7" t="s">
        <v>10</v>
      </c>
      <c r="C7" t="s">
        <v>22</v>
      </c>
      <c r="D7" t="s">
        <v>23</v>
      </c>
      <c r="G7">
        <v>5.18</v>
      </c>
      <c r="J7">
        <f t="shared" si="0"/>
        <v>5.18</v>
      </c>
    </row>
    <row r="8" spans="1:10" x14ac:dyDescent="0.25">
      <c r="A8" t="s">
        <v>9</v>
      </c>
      <c r="B8" t="s">
        <v>10</v>
      </c>
      <c r="C8" t="s">
        <v>24</v>
      </c>
      <c r="D8" t="s">
        <v>25</v>
      </c>
      <c r="J8">
        <f t="shared" si="0"/>
        <v>0</v>
      </c>
    </row>
    <row r="9" spans="1:10" x14ac:dyDescent="0.25">
      <c r="A9" t="s">
        <v>9</v>
      </c>
      <c r="B9" t="s">
        <v>10</v>
      </c>
      <c r="C9" t="s">
        <v>26</v>
      </c>
      <c r="D9" t="s">
        <v>27</v>
      </c>
      <c r="J9">
        <f t="shared" si="0"/>
        <v>0</v>
      </c>
    </row>
    <row r="10" spans="1:10" x14ac:dyDescent="0.25">
      <c r="A10" t="s">
        <v>9</v>
      </c>
      <c r="B10" t="s">
        <v>10</v>
      </c>
      <c r="C10" t="s">
        <v>28</v>
      </c>
      <c r="D10" t="s">
        <v>29</v>
      </c>
      <c r="E10">
        <v>8</v>
      </c>
      <c r="J10">
        <f t="shared" si="0"/>
        <v>8</v>
      </c>
    </row>
    <row r="11" spans="1:10" x14ac:dyDescent="0.25">
      <c r="A11" t="s">
        <v>9</v>
      </c>
      <c r="B11" t="s">
        <v>10</v>
      </c>
      <c r="C11" t="s">
        <v>30</v>
      </c>
      <c r="D11" t="s">
        <v>31</v>
      </c>
      <c r="J11">
        <f t="shared" si="0"/>
        <v>0</v>
      </c>
    </row>
    <row r="12" spans="1:10" x14ac:dyDescent="0.25">
      <c r="A12" t="s">
        <v>9</v>
      </c>
      <c r="B12" t="s">
        <v>10</v>
      </c>
      <c r="C12" t="s">
        <v>32</v>
      </c>
      <c r="D12" t="s">
        <v>33</v>
      </c>
      <c r="E12">
        <v>9</v>
      </c>
      <c r="F12">
        <v>9</v>
      </c>
      <c r="G12">
        <v>9</v>
      </c>
      <c r="H12">
        <v>9</v>
      </c>
      <c r="I12">
        <v>9</v>
      </c>
      <c r="J12">
        <f t="shared" si="0"/>
        <v>9</v>
      </c>
    </row>
    <row r="13" spans="1:10" x14ac:dyDescent="0.25">
      <c r="A13" t="s">
        <v>9</v>
      </c>
      <c r="B13" t="s">
        <v>10</v>
      </c>
      <c r="C13" t="s">
        <v>34</v>
      </c>
      <c r="D13" t="s">
        <v>35</v>
      </c>
      <c r="E13">
        <v>5.7142858505248997</v>
      </c>
      <c r="F13">
        <v>4.7619047164917001</v>
      </c>
      <c r="G13">
        <v>12.380952835083001</v>
      </c>
      <c r="H13">
        <v>12.2641506195068</v>
      </c>
      <c r="I13">
        <v>13.6792449951172</v>
      </c>
      <c r="J13">
        <f t="shared" si="0"/>
        <v>13.6792449951172</v>
      </c>
    </row>
    <row r="14" spans="1:10" x14ac:dyDescent="0.25">
      <c r="A14" t="s">
        <v>9</v>
      </c>
      <c r="B14" t="s">
        <v>10</v>
      </c>
      <c r="C14" t="s">
        <v>36</v>
      </c>
      <c r="D14" t="s">
        <v>37</v>
      </c>
      <c r="J14">
        <f t="shared" si="0"/>
        <v>0</v>
      </c>
    </row>
    <row r="15" spans="1:10" x14ac:dyDescent="0.25">
      <c r="A15" t="s">
        <v>9</v>
      </c>
      <c r="B15" t="s">
        <v>10</v>
      </c>
      <c r="C15" t="s">
        <v>38</v>
      </c>
      <c r="D15" t="s">
        <v>39</v>
      </c>
      <c r="J15">
        <f t="shared" si="0"/>
        <v>0</v>
      </c>
    </row>
    <row r="16" spans="1:10" x14ac:dyDescent="0.25">
      <c r="A16" t="s">
        <v>9</v>
      </c>
      <c r="B16" t="s">
        <v>10</v>
      </c>
      <c r="C16" t="s">
        <v>40</v>
      </c>
      <c r="D16" t="s">
        <v>41</v>
      </c>
      <c r="E16">
        <v>67.952078</v>
      </c>
      <c r="F16">
        <v>64.471496000000002</v>
      </c>
      <c r="G16">
        <v>62.671880000000002</v>
      </c>
      <c r="H16">
        <v>69.906777000000005</v>
      </c>
      <c r="J16">
        <f t="shared" si="0"/>
        <v>69.906777000000005</v>
      </c>
    </row>
    <row r="17" spans="1:10" x14ac:dyDescent="0.25">
      <c r="A17" t="s">
        <v>9</v>
      </c>
      <c r="B17" t="s">
        <v>10</v>
      </c>
      <c r="C17" t="s">
        <v>42</v>
      </c>
      <c r="D17" t="s">
        <v>43</v>
      </c>
      <c r="J17">
        <f t="shared" si="0"/>
        <v>0</v>
      </c>
    </row>
    <row r="18" spans="1:10" x14ac:dyDescent="0.25">
      <c r="A18" t="s">
        <v>9</v>
      </c>
      <c r="B18" t="s">
        <v>10</v>
      </c>
      <c r="C18" t="s">
        <v>44</v>
      </c>
      <c r="D18" t="s">
        <v>45</v>
      </c>
      <c r="E18">
        <v>8.5</v>
      </c>
      <c r="J18">
        <f t="shared" si="0"/>
        <v>8.5</v>
      </c>
    </row>
    <row r="19" spans="1:10" x14ac:dyDescent="0.25">
      <c r="A19" t="s">
        <v>46</v>
      </c>
      <c r="B19" t="s">
        <v>47</v>
      </c>
      <c r="C19" t="s">
        <v>11</v>
      </c>
      <c r="D19" t="s">
        <v>12</v>
      </c>
      <c r="G19">
        <v>44.1</v>
      </c>
      <c r="J19">
        <f t="shared" si="0"/>
        <v>44.1</v>
      </c>
    </row>
    <row r="20" spans="1:10" x14ac:dyDescent="0.25">
      <c r="A20" t="s">
        <v>46</v>
      </c>
      <c r="B20" t="s">
        <v>47</v>
      </c>
      <c r="C20" t="s">
        <v>14</v>
      </c>
      <c r="D20" t="s">
        <v>15</v>
      </c>
      <c r="G20">
        <v>31.19</v>
      </c>
      <c r="J20">
        <f t="shared" si="0"/>
        <v>31.19</v>
      </c>
    </row>
    <row r="21" spans="1:10" x14ac:dyDescent="0.25">
      <c r="A21" t="s">
        <v>46</v>
      </c>
      <c r="B21" t="s">
        <v>47</v>
      </c>
      <c r="C21" t="s">
        <v>16</v>
      </c>
      <c r="D21" t="s">
        <v>17</v>
      </c>
      <c r="G21">
        <v>56.83</v>
      </c>
      <c r="J21">
        <f t="shared" si="0"/>
        <v>56.83</v>
      </c>
    </row>
    <row r="22" spans="1:10" x14ac:dyDescent="0.25">
      <c r="A22" t="s">
        <v>46</v>
      </c>
      <c r="B22" t="s">
        <v>47</v>
      </c>
      <c r="C22" t="s">
        <v>18</v>
      </c>
      <c r="D22" t="s">
        <v>19</v>
      </c>
      <c r="G22">
        <v>31.91</v>
      </c>
      <c r="J22">
        <f t="shared" si="0"/>
        <v>31.91</v>
      </c>
    </row>
    <row r="23" spans="1:10" x14ac:dyDescent="0.25">
      <c r="A23" t="s">
        <v>46</v>
      </c>
      <c r="B23" t="s">
        <v>47</v>
      </c>
      <c r="C23" t="s">
        <v>20</v>
      </c>
      <c r="D23" t="s">
        <v>21</v>
      </c>
      <c r="G23">
        <v>26.72</v>
      </c>
      <c r="J23">
        <f t="shared" si="0"/>
        <v>26.72</v>
      </c>
    </row>
    <row r="24" spans="1:10" x14ac:dyDescent="0.25">
      <c r="A24" t="s">
        <v>46</v>
      </c>
      <c r="B24" t="s">
        <v>47</v>
      </c>
      <c r="C24" t="s">
        <v>22</v>
      </c>
      <c r="D24" t="s">
        <v>23</v>
      </c>
      <c r="G24">
        <v>38.99</v>
      </c>
      <c r="J24">
        <f t="shared" si="0"/>
        <v>38.99</v>
      </c>
    </row>
    <row r="25" spans="1:10" x14ac:dyDescent="0.25">
      <c r="A25" t="s">
        <v>46</v>
      </c>
      <c r="B25" t="s">
        <v>47</v>
      </c>
      <c r="C25" t="s">
        <v>24</v>
      </c>
      <c r="D25" t="s">
        <v>25</v>
      </c>
      <c r="J25">
        <f t="shared" si="0"/>
        <v>0</v>
      </c>
    </row>
    <row r="26" spans="1:10" x14ac:dyDescent="0.25">
      <c r="A26" t="s">
        <v>46</v>
      </c>
      <c r="B26" t="s">
        <v>47</v>
      </c>
      <c r="C26" t="s">
        <v>26</v>
      </c>
      <c r="D26" t="s">
        <v>27</v>
      </c>
      <c r="J26">
        <f t="shared" si="0"/>
        <v>0</v>
      </c>
    </row>
    <row r="27" spans="1:10" x14ac:dyDescent="0.25">
      <c r="A27" t="s">
        <v>46</v>
      </c>
      <c r="B27" t="s">
        <v>47</v>
      </c>
      <c r="C27" t="s">
        <v>28</v>
      </c>
      <c r="D27" t="s">
        <v>29</v>
      </c>
      <c r="E27">
        <v>4</v>
      </c>
      <c r="J27">
        <f t="shared" si="0"/>
        <v>4</v>
      </c>
    </row>
    <row r="28" spans="1:10" x14ac:dyDescent="0.25">
      <c r="A28" t="s">
        <v>46</v>
      </c>
      <c r="B28" t="s">
        <v>47</v>
      </c>
      <c r="C28" t="s">
        <v>30</v>
      </c>
      <c r="D28" t="s">
        <v>31</v>
      </c>
      <c r="J28">
        <f t="shared" si="0"/>
        <v>0</v>
      </c>
    </row>
    <row r="29" spans="1:10" x14ac:dyDescent="0.25">
      <c r="A29" t="s">
        <v>46</v>
      </c>
      <c r="B29" t="s">
        <v>47</v>
      </c>
      <c r="C29" t="s">
        <v>32</v>
      </c>
      <c r="D29" t="s">
        <v>33</v>
      </c>
      <c r="E29">
        <v>10</v>
      </c>
      <c r="F29">
        <v>10</v>
      </c>
      <c r="G29">
        <v>10</v>
      </c>
      <c r="H29">
        <v>10</v>
      </c>
      <c r="I29">
        <v>10</v>
      </c>
      <c r="J29">
        <f t="shared" si="0"/>
        <v>10</v>
      </c>
    </row>
    <row r="30" spans="1:10" x14ac:dyDescent="0.25">
      <c r="A30" t="s">
        <v>46</v>
      </c>
      <c r="B30" t="s">
        <v>47</v>
      </c>
      <c r="C30" t="s">
        <v>34</v>
      </c>
      <c r="D30" t="s">
        <v>35</v>
      </c>
      <c r="E30">
        <v>28.095237731933601</v>
      </c>
      <c r="F30">
        <v>27.619047164916999</v>
      </c>
      <c r="G30">
        <v>29.523809432983398</v>
      </c>
      <c r="H30">
        <v>27.8301887512207</v>
      </c>
      <c r="I30">
        <v>30.188678741455099</v>
      </c>
      <c r="J30">
        <f t="shared" si="0"/>
        <v>30.188678741455099</v>
      </c>
    </row>
    <row r="31" spans="1:10" x14ac:dyDescent="0.25">
      <c r="A31" t="s">
        <v>46</v>
      </c>
      <c r="B31" t="s">
        <v>47</v>
      </c>
      <c r="C31" t="s">
        <v>36</v>
      </c>
      <c r="D31" t="s">
        <v>37</v>
      </c>
      <c r="J31">
        <f t="shared" si="0"/>
        <v>0</v>
      </c>
    </row>
    <row r="32" spans="1:10" x14ac:dyDescent="0.25">
      <c r="A32" t="s">
        <v>46</v>
      </c>
      <c r="B32" t="s">
        <v>47</v>
      </c>
      <c r="C32" t="s">
        <v>38</v>
      </c>
      <c r="D32" t="s">
        <v>39</v>
      </c>
      <c r="J32">
        <f t="shared" si="0"/>
        <v>0</v>
      </c>
    </row>
    <row r="33" spans="1:10" x14ac:dyDescent="0.25">
      <c r="A33" t="s">
        <v>46</v>
      </c>
      <c r="B33" t="s">
        <v>47</v>
      </c>
      <c r="C33" t="s">
        <v>40</v>
      </c>
      <c r="D33" t="s">
        <v>41</v>
      </c>
      <c r="E33">
        <v>86.581483000000006</v>
      </c>
      <c r="F33">
        <v>83.900668999999994</v>
      </c>
      <c r="G33">
        <v>85.956711999999996</v>
      </c>
      <c r="H33">
        <v>87.509843000000004</v>
      </c>
      <c r="J33">
        <f t="shared" si="0"/>
        <v>87.509843000000004</v>
      </c>
    </row>
    <row r="34" spans="1:10" x14ac:dyDescent="0.25">
      <c r="A34" t="s">
        <v>46</v>
      </c>
      <c r="B34" t="s">
        <v>47</v>
      </c>
      <c r="C34" t="s">
        <v>42</v>
      </c>
      <c r="D34" t="s">
        <v>43</v>
      </c>
      <c r="J34">
        <f t="shared" si="0"/>
        <v>0</v>
      </c>
    </row>
    <row r="35" spans="1:10" x14ac:dyDescent="0.25">
      <c r="A35" t="s">
        <v>46</v>
      </c>
      <c r="B35" t="s">
        <v>47</v>
      </c>
      <c r="C35" t="s">
        <v>44</v>
      </c>
      <c r="D35" t="s">
        <v>45</v>
      </c>
      <c r="E35">
        <v>18</v>
      </c>
      <c r="J35">
        <f t="shared" si="0"/>
        <v>18</v>
      </c>
    </row>
    <row r="36" spans="1:10" x14ac:dyDescent="0.25">
      <c r="A36" t="s">
        <v>48</v>
      </c>
      <c r="B36" t="s">
        <v>49</v>
      </c>
      <c r="C36" t="s">
        <v>11</v>
      </c>
      <c r="D36" t="s">
        <v>12</v>
      </c>
      <c r="G36">
        <v>100</v>
      </c>
      <c r="J36">
        <f t="shared" si="0"/>
        <v>100</v>
      </c>
    </row>
    <row r="37" spans="1:10" x14ac:dyDescent="0.25">
      <c r="A37" t="s">
        <v>48</v>
      </c>
      <c r="B37" t="s">
        <v>49</v>
      </c>
      <c r="C37" t="s">
        <v>14</v>
      </c>
      <c r="D37" t="s">
        <v>15</v>
      </c>
      <c r="G37">
        <v>100</v>
      </c>
      <c r="J37">
        <f t="shared" si="0"/>
        <v>100</v>
      </c>
    </row>
    <row r="38" spans="1:10" x14ac:dyDescent="0.25">
      <c r="A38" t="s">
        <v>48</v>
      </c>
      <c r="B38" t="s">
        <v>49</v>
      </c>
      <c r="C38" t="s">
        <v>16</v>
      </c>
      <c r="D38" t="s">
        <v>17</v>
      </c>
      <c r="G38">
        <v>100</v>
      </c>
      <c r="J38">
        <f t="shared" si="0"/>
        <v>100</v>
      </c>
    </row>
    <row r="39" spans="1:10" x14ac:dyDescent="0.25">
      <c r="A39" t="s">
        <v>48</v>
      </c>
      <c r="B39" t="s">
        <v>49</v>
      </c>
      <c r="C39" t="s">
        <v>18</v>
      </c>
      <c r="D39" t="s">
        <v>19</v>
      </c>
      <c r="G39">
        <v>100</v>
      </c>
      <c r="J39">
        <f t="shared" si="0"/>
        <v>100</v>
      </c>
    </row>
    <row r="40" spans="1:10" x14ac:dyDescent="0.25">
      <c r="A40" t="s">
        <v>48</v>
      </c>
      <c r="B40" t="s">
        <v>49</v>
      </c>
      <c r="C40" t="s">
        <v>20</v>
      </c>
      <c r="D40" t="s">
        <v>21</v>
      </c>
      <c r="G40">
        <v>100</v>
      </c>
      <c r="J40">
        <f t="shared" si="0"/>
        <v>100</v>
      </c>
    </row>
    <row r="41" spans="1:10" x14ac:dyDescent="0.25">
      <c r="A41" t="s">
        <v>48</v>
      </c>
      <c r="B41" t="s">
        <v>49</v>
      </c>
      <c r="C41" t="s">
        <v>22</v>
      </c>
      <c r="D41" t="s">
        <v>23</v>
      </c>
      <c r="G41">
        <v>100</v>
      </c>
      <c r="J41">
        <f t="shared" si="0"/>
        <v>100</v>
      </c>
    </row>
    <row r="42" spans="1:10" x14ac:dyDescent="0.25">
      <c r="A42" t="s">
        <v>48</v>
      </c>
      <c r="B42" t="s">
        <v>49</v>
      </c>
      <c r="C42" t="s">
        <v>24</v>
      </c>
      <c r="D42" t="s">
        <v>25</v>
      </c>
      <c r="J42">
        <f t="shared" si="0"/>
        <v>0</v>
      </c>
    </row>
    <row r="43" spans="1:10" x14ac:dyDescent="0.25">
      <c r="A43" t="s">
        <v>48</v>
      </c>
      <c r="B43" t="s">
        <v>49</v>
      </c>
      <c r="C43" t="s">
        <v>26</v>
      </c>
      <c r="D43" t="s">
        <v>27</v>
      </c>
      <c r="F43">
        <v>3.4</v>
      </c>
      <c r="J43">
        <f t="shared" si="0"/>
        <v>3.4</v>
      </c>
    </row>
    <row r="44" spans="1:10" x14ac:dyDescent="0.25">
      <c r="A44" t="s">
        <v>48</v>
      </c>
      <c r="B44" t="s">
        <v>49</v>
      </c>
      <c r="C44" t="s">
        <v>28</v>
      </c>
      <c r="D44" t="s">
        <v>29</v>
      </c>
      <c r="E44">
        <v>7</v>
      </c>
      <c r="J44">
        <f t="shared" si="0"/>
        <v>7</v>
      </c>
    </row>
    <row r="45" spans="1:10" x14ac:dyDescent="0.25">
      <c r="A45" t="s">
        <v>48</v>
      </c>
      <c r="B45" t="s">
        <v>49</v>
      </c>
      <c r="C45" t="s">
        <v>30</v>
      </c>
      <c r="D45" t="s">
        <v>31</v>
      </c>
      <c r="J45">
        <f t="shared" si="0"/>
        <v>0</v>
      </c>
    </row>
    <row r="46" spans="1:10" x14ac:dyDescent="0.25">
      <c r="A46" t="s">
        <v>48</v>
      </c>
      <c r="B46" t="s">
        <v>49</v>
      </c>
      <c r="C46" t="s">
        <v>32</v>
      </c>
      <c r="D46" t="s">
        <v>33</v>
      </c>
      <c r="E46">
        <v>10</v>
      </c>
      <c r="F46">
        <v>10</v>
      </c>
      <c r="G46">
        <v>10</v>
      </c>
      <c r="H46">
        <v>10</v>
      </c>
      <c r="I46">
        <v>10</v>
      </c>
      <c r="J46">
        <f t="shared" si="0"/>
        <v>10</v>
      </c>
    </row>
    <row r="47" spans="1:10" x14ac:dyDescent="0.25">
      <c r="A47" t="s">
        <v>48</v>
      </c>
      <c r="B47" t="s">
        <v>49</v>
      </c>
      <c r="C47" t="s">
        <v>34</v>
      </c>
      <c r="D47" t="s">
        <v>35</v>
      </c>
      <c r="E47">
        <v>99.523811340332003</v>
      </c>
      <c r="F47">
        <v>100</v>
      </c>
      <c r="G47">
        <v>100</v>
      </c>
      <c r="H47">
        <v>100</v>
      </c>
      <c r="I47">
        <v>100</v>
      </c>
      <c r="J47">
        <f t="shared" si="0"/>
        <v>100</v>
      </c>
    </row>
    <row r="48" spans="1:10" x14ac:dyDescent="0.25">
      <c r="A48" t="s">
        <v>48</v>
      </c>
      <c r="B48" t="s">
        <v>49</v>
      </c>
      <c r="C48" t="s">
        <v>36</v>
      </c>
      <c r="D48" t="s">
        <v>37</v>
      </c>
      <c r="J48">
        <f t="shared" si="0"/>
        <v>0</v>
      </c>
    </row>
    <row r="49" spans="1:10" x14ac:dyDescent="0.25">
      <c r="A49" t="s">
        <v>48</v>
      </c>
      <c r="B49" t="s">
        <v>49</v>
      </c>
      <c r="C49" t="s">
        <v>38</v>
      </c>
      <c r="D49" t="s">
        <v>39</v>
      </c>
      <c r="J49">
        <f t="shared" si="0"/>
        <v>0</v>
      </c>
    </row>
    <row r="50" spans="1:10" x14ac:dyDescent="0.25">
      <c r="A50" t="s">
        <v>48</v>
      </c>
      <c r="B50" t="s">
        <v>49</v>
      </c>
      <c r="C50" t="s">
        <v>40</v>
      </c>
      <c r="D50" t="s">
        <v>41</v>
      </c>
      <c r="E50">
        <v>92.189131000000003</v>
      </c>
      <c r="F50">
        <v>92.233914999999996</v>
      </c>
      <c r="G50">
        <v>92.241820000000004</v>
      </c>
      <c r="H50">
        <v>92.531153000000003</v>
      </c>
      <c r="J50">
        <f t="shared" si="0"/>
        <v>92.531153000000003</v>
      </c>
    </row>
    <row r="51" spans="1:10" x14ac:dyDescent="0.25">
      <c r="A51" t="s">
        <v>48</v>
      </c>
      <c r="B51" t="s">
        <v>49</v>
      </c>
      <c r="C51" t="s">
        <v>42</v>
      </c>
      <c r="D51" t="s">
        <v>43</v>
      </c>
      <c r="J51">
        <f t="shared" si="0"/>
        <v>0</v>
      </c>
    </row>
    <row r="52" spans="1:10" x14ac:dyDescent="0.25">
      <c r="A52" t="s">
        <v>48</v>
      </c>
      <c r="B52" t="s">
        <v>49</v>
      </c>
      <c r="C52" t="s">
        <v>44</v>
      </c>
      <c r="D52" t="s">
        <v>45</v>
      </c>
      <c r="E52">
        <v>3.5</v>
      </c>
      <c r="J52">
        <f t="shared" si="0"/>
        <v>3.5</v>
      </c>
    </row>
    <row r="53" spans="1:10" x14ac:dyDescent="0.25">
      <c r="A53" t="s">
        <v>50</v>
      </c>
      <c r="B53" t="s">
        <v>51</v>
      </c>
      <c r="C53" t="s">
        <v>11</v>
      </c>
      <c r="D53" t="s">
        <v>12</v>
      </c>
      <c r="G53">
        <v>64.180000000000007</v>
      </c>
      <c r="J53">
        <f t="shared" si="0"/>
        <v>64.180000000000007</v>
      </c>
    </row>
    <row r="54" spans="1:10" x14ac:dyDescent="0.25">
      <c r="A54" t="s">
        <v>50</v>
      </c>
      <c r="B54" t="s">
        <v>51</v>
      </c>
      <c r="C54" t="s">
        <v>14</v>
      </c>
      <c r="D54" t="s">
        <v>15</v>
      </c>
      <c r="G54">
        <v>57.95</v>
      </c>
      <c r="J54">
        <f t="shared" si="0"/>
        <v>57.95</v>
      </c>
    </row>
    <row r="55" spans="1:10" x14ac:dyDescent="0.25">
      <c r="A55" t="s">
        <v>50</v>
      </c>
      <c r="B55" t="s">
        <v>51</v>
      </c>
      <c r="C55" t="s">
        <v>16</v>
      </c>
      <c r="D55" t="s">
        <v>17</v>
      </c>
      <c r="G55">
        <v>70.59</v>
      </c>
      <c r="J55">
        <f t="shared" si="0"/>
        <v>70.59</v>
      </c>
    </row>
    <row r="56" spans="1:10" x14ac:dyDescent="0.25">
      <c r="A56" t="s">
        <v>50</v>
      </c>
      <c r="B56" t="s">
        <v>51</v>
      </c>
      <c r="C56" t="s">
        <v>18</v>
      </c>
      <c r="D56" t="s">
        <v>19</v>
      </c>
      <c r="G56">
        <v>59.15</v>
      </c>
      <c r="J56">
        <f t="shared" si="0"/>
        <v>59.15</v>
      </c>
    </row>
    <row r="57" spans="1:10" x14ac:dyDescent="0.25">
      <c r="A57" t="s">
        <v>50</v>
      </c>
      <c r="B57" t="s">
        <v>51</v>
      </c>
      <c r="C57" t="s">
        <v>20</v>
      </c>
      <c r="D57" t="s">
        <v>21</v>
      </c>
      <c r="G57">
        <v>54.54</v>
      </c>
      <c r="J57">
        <f t="shared" si="0"/>
        <v>54.54</v>
      </c>
    </row>
    <row r="58" spans="1:10" x14ac:dyDescent="0.25">
      <c r="A58" t="s">
        <v>50</v>
      </c>
      <c r="B58" t="s">
        <v>51</v>
      </c>
      <c r="C58" t="s">
        <v>22</v>
      </c>
      <c r="D58" t="s">
        <v>23</v>
      </c>
      <c r="G58">
        <v>60.21</v>
      </c>
      <c r="J58">
        <f t="shared" si="0"/>
        <v>60.21</v>
      </c>
    </row>
    <row r="59" spans="1:10" x14ac:dyDescent="0.25">
      <c r="A59" t="s">
        <v>50</v>
      </c>
      <c r="B59" t="s">
        <v>51</v>
      </c>
      <c r="C59" t="s">
        <v>24</v>
      </c>
      <c r="D59" t="s">
        <v>25</v>
      </c>
      <c r="J59">
        <f t="shared" si="0"/>
        <v>0</v>
      </c>
    </row>
    <row r="60" spans="1:10" x14ac:dyDescent="0.25">
      <c r="A60" t="s">
        <v>50</v>
      </c>
      <c r="B60" t="s">
        <v>51</v>
      </c>
      <c r="C60" t="s">
        <v>26</v>
      </c>
      <c r="D60" t="s">
        <v>27</v>
      </c>
      <c r="J60">
        <f t="shared" si="0"/>
        <v>0</v>
      </c>
    </row>
    <row r="61" spans="1:10" x14ac:dyDescent="0.25">
      <c r="A61" t="s">
        <v>50</v>
      </c>
      <c r="B61" t="s">
        <v>51</v>
      </c>
      <c r="C61" t="s">
        <v>28</v>
      </c>
      <c r="D61" t="s">
        <v>29</v>
      </c>
      <c r="E61">
        <v>2</v>
      </c>
      <c r="J61">
        <f t="shared" si="0"/>
        <v>2</v>
      </c>
    </row>
    <row r="62" spans="1:10" x14ac:dyDescent="0.25">
      <c r="A62" t="s">
        <v>50</v>
      </c>
      <c r="B62" t="s">
        <v>51</v>
      </c>
      <c r="C62" t="s">
        <v>30</v>
      </c>
      <c r="D62" t="s">
        <v>31</v>
      </c>
      <c r="J62">
        <f t="shared" si="0"/>
        <v>0</v>
      </c>
    </row>
    <row r="63" spans="1:10" x14ac:dyDescent="0.25">
      <c r="A63" t="s">
        <v>50</v>
      </c>
      <c r="B63" t="s">
        <v>51</v>
      </c>
      <c r="C63" t="s">
        <v>32</v>
      </c>
      <c r="D63" t="s">
        <v>33</v>
      </c>
      <c r="E63">
        <v>15</v>
      </c>
      <c r="F63">
        <v>15</v>
      </c>
      <c r="G63">
        <v>15</v>
      </c>
      <c r="H63">
        <v>15</v>
      </c>
      <c r="I63">
        <v>15</v>
      </c>
      <c r="J63">
        <f t="shared" si="0"/>
        <v>15</v>
      </c>
    </row>
    <row r="64" spans="1:10" x14ac:dyDescent="0.25">
      <c r="A64" t="s">
        <v>50</v>
      </c>
      <c r="B64" t="s">
        <v>51</v>
      </c>
      <c r="C64" t="s">
        <v>34</v>
      </c>
      <c r="D64" t="s">
        <v>35</v>
      </c>
      <c r="E64">
        <v>34.761905670166001</v>
      </c>
      <c r="F64">
        <v>33.809524536132798</v>
      </c>
      <c r="G64">
        <v>30</v>
      </c>
      <c r="H64">
        <v>29.716981887817401</v>
      </c>
      <c r="I64">
        <v>27.8301887512207</v>
      </c>
      <c r="J64">
        <f t="shared" si="0"/>
        <v>34.761905670166001</v>
      </c>
    </row>
    <row r="65" spans="1:10" x14ac:dyDescent="0.25">
      <c r="A65" t="s">
        <v>50</v>
      </c>
      <c r="B65" t="s">
        <v>51</v>
      </c>
      <c r="C65" t="s">
        <v>36</v>
      </c>
      <c r="D65" t="s">
        <v>37</v>
      </c>
      <c r="E65">
        <v>20.741443145838598</v>
      </c>
      <c r="F65">
        <v>35.180797160643003</v>
      </c>
      <c r="J65">
        <f t="shared" si="0"/>
        <v>35.180797160643003</v>
      </c>
    </row>
    <row r="66" spans="1:10" x14ac:dyDescent="0.25">
      <c r="A66" t="s">
        <v>50</v>
      </c>
      <c r="B66" t="s">
        <v>51</v>
      </c>
      <c r="C66" t="s">
        <v>38</v>
      </c>
      <c r="D66" t="s">
        <v>39</v>
      </c>
      <c r="E66">
        <v>4.1750803061073096</v>
      </c>
      <c r="F66">
        <v>3.2254007993838099</v>
      </c>
      <c r="J66">
        <f t="shared" si="0"/>
        <v>4.1750803061073096</v>
      </c>
    </row>
    <row r="67" spans="1:10" x14ac:dyDescent="0.25">
      <c r="A67" t="s">
        <v>50</v>
      </c>
      <c r="B67" t="s">
        <v>51</v>
      </c>
      <c r="C67" t="s">
        <v>40</v>
      </c>
      <c r="D67" t="s">
        <v>41</v>
      </c>
      <c r="E67">
        <v>86.675416999999996</v>
      </c>
      <c r="F67">
        <v>81.069979000000004</v>
      </c>
      <c r="G67">
        <v>81.591718</v>
      </c>
      <c r="H67">
        <v>85.934971000000004</v>
      </c>
      <c r="J67">
        <f t="shared" ref="J67:J130" si="1">MAX(E67:I67)</f>
        <v>86.675416999999996</v>
      </c>
    </row>
    <row r="68" spans="1:10" x14ac:dyDescent="0.25">
      <c r="A68" t="s">
        <v>50</v>
      </c>
      <c r="B68" t="s">
        <v>51</v>
      </c>
      <c r="C68" t="s">
        <v>42</v>
      </c>
      <c r="D68" t="s">
        <v>43</v>
      </c>
      <c r="J68">
        <f t="shared" si="1"/>
        <v>0</v>
      </c>
    </row>
    <row r="69" spans="1:10" x14ac:dyDescent="0.25">
      <c r="A69" t="s">
        <v>50</v>
      </c>
      <c r="B69" t="s">
        <v>51</v>
      </c>
      <c r="C69" t="s">
        <v>44</v>
      </c>
      <c r="D69" t="s">
        <v>45</v>
      </c>
      <c r="E69">
        <v>48.5</v>
      </c>
      <c r="J69">
        <f t="shared" si="1"/>
        <v>48.5</v>
      </c>
    </row>
    <row r="70" spans="1:10" x14ac:dyDescent="0.25">
      <c r="A70" t="s">
        <v>52</v>
      </c>
      <c r="B70" t="s">
        <v>53</v>
      </c>
      <c r="C70" t="s">
        <v>11</v>
      </c>
      <c r="D70" t="s">
        <v>12</v>
      </c>
      <c r="J70">
        <f t="shared" si="1"/>
        <v>0</v>
      </c>
    </row>
    <row r="71" spans="1:10" x14ac:dyDescent="0.25">
      <c r="A71" t="s">
        <v>52</v>
      </c>
      <c r="B71" t="s">
        <v>53</v>
      </c>
      <c r="C71" t="s">
        <v>14</v>
      </c>
      <c r="D71" t="s">
        <v>15</v>
      </c>
      <c r="J71">
        <f t="shared" si="1"/>
        <v>0</v>
      </c>
    </row>
    <row r="72" spans="1:10" x14ac:dyDescent="0.25">
      <c r="A72" t="s">
        <v>52</v>
      </c>
      <c r="B72" t="s">
        <v>53</v>
      </c>
      <c r="C72" t="s">
        <v>16</v>
      </c>
      <c r="D72" t="s">
        <v>17</v>
      </c>
      <c r="J72">
        <f t="shared" si="1"/>
        <v>0</v>
      </c>
    </row>
    <row r="73" spans="1:10" x14ac:dyDescent="0.25">
      <c r="A73" t="s">
        <v>52</v>
      </c>
      <c r="B73" t="s">
        <v>53</v>
      </c>
      <c r="C73" t="s">
        <v>18</v>
      </c>
      <c r="D73" t="s">
        <v>19</v>
      </c>
      <c r="J73">
        <f t="shared" si="1"/>
        <v>0</v>
      </c>
    </row>
    <row r="74" spans="1:10" x14ac:dyDescent="0.25">
      <c r="A74" t="s">
        <v>52</v>
      </c>
      <c r="B74" t="s">
        <v>53</v>
      </c>
      <c r="C74" t="s">
        <v>20</v>
      </c>
      <c r="D74" t="s">
        <v>21</v>
      </c>
      <c r="J74">
        <f t="shared" si="1"/>
        <v>0</v>
      </c>
    </row>
    <row r="75" spans="1:10" x14ac:dyDescent="0.25">
      <c r="A75" t="s">
        <v>52</v>
      </c>
      <c r="B75" t="s">
        <v>53</v>
      </c>
      <c r="C75" t="s">
        <v>22</v>
      </c>
      <c r="D75" t="s">
        <v>23</v>
      </c>
      <c r="J75">
        <f t="shared" si="1"/>
        <v>0</v>
      </c>
    </row>
    <row r="76" spans="1:10" x14ac:dyDescent="0.25">
      <c r="A76" t="s">
        <v>52</v>
      </c>
      <c r="B76" t="s">
        <v>53</v>
      </c>
      <c r="C76" t="s">
        <v>24</v>
      </c>
      <c r="D76" t="s">
        <v>25</v>
      </c>
      <c r="J76">
        <f t="shared" si="1"/>
        <v>0</v>
      </c>
    </row>
    <row r="77" spans="1:10" x14ac:dyDescent="0.25">
      <c r="A77" t="s">
        <v>52</v>
      </c>
      <c r="B77" t="s">
        <v>53</v>
      </c>
      <c r="C77" t="s">
        <v>26</v>
      </c>
      <c r="D77" t="s">
        <v>27</v>
      </c>
      <c r="J77">
        <f t="shared" si="1"/>
        <v>0</v>
      </c>
    </row>
    <row r="78" spans="1:10" x14ac:dyDescent="0.25">
      <c r="A78" t="s">
        <v>52</v>
      </c>
      <c r="B78" t="s">
        <v>53</v>
      </c>
      <c r="C78" t="s">
        <v>28</v>
      </c>
      <c r="D78" t="s">
        <v>29</v>
      </c>
      <c r="E78">
        <v>4</v>
      </c>
      <c r="J78">
        <f t="shared" si="1"/>
        <v>4</v>
      </c>
    </row>
    <row r="79" spans="1:10" x14ac:dyDescent="0.25">
      <c r="A79" t="s">
        <v>52</v>
      </c>
      <c r="B79" t="s">
        <v>53</v>
      </c>
      <c r="C79" t="s">
        <v>30</v>
      </c>
      <c r="D79" t="s">
        <v>31</v>
      </c>
      <c r="J79">
        <f t="shared" si="1"/>
        <v>0</v>
      </c>
    </row>
    <row r="80" spans="1:10" x14ac:dyDescent="0.25">
      <c r="A80" t="s">
        <v>52</v>
      </c>
      <c r="B80" t="s">
        <v>53</v>
      </c>
      <c r="C80" t="s">
        <v>32</v>
      </c>
      <c r="D80" t="s">
        <v>33</v>
      </c>
      <c r="E80">
        <v>10</v>
      </c>
      <c r="F80">
        <v>10</v>
      </c>
      <c r="G80">
        <v>10</v>
      </c>
      <c r="H80">
        <v>10</v>
      </c>
      <c r="I80">
        <v>10</v>
      </c>
      <c r="J80">
        <f t="shared" si="1"/>
        <v>10</v>
      </c>
    </row>
    <row r="81" spans="1:10" x14ac:dyDescent="0.25">
      <c r="A81" t="s">
        <v>52</v>
      </c>
      <c r="B81" t="s">
        <v>53</v>
      </c>
      <c r="C81" t="s">
        <v>34</v>
      </c>
      <c r="D81" t="s">
        <v>35</v>
      </c>
      <c r="E81">
        <v>14.285714149475099</v>
      </c>
      <c r="F81">
        <v>18.571428298950199</v>
      </c>
      <c r="G81">
        <v>29.0476188659668</v>
      </c>
      <c r="H81">
        <v>30.188678741455099</v>
      </c>
      <c r="I81">
        <v>29.245283126831101</v>
      </c>
      <c r="J81">
        <f t="shared" si="1"/>
        <v>30.188678741455099</v>
      </c>
    </row>
    <row r="82" spans="1:10" x14ac:dyDescent="0.25">
      <c r="A82" t="s">
        <v>52</v>
      </c>
      <c r="B82" t="s">
        <v>53</v>
      </c>
      <c r="C82" t="s">
        <v>36</v>
      </c>
      <c r="D82" t="s">
        <v>37</v>
      </c>
      <c r="J82">
        <f t="shared" si="1"/>
        <v>0</v>
      </c>
    </row>
    <row r="83" spans="1:10" x14ac:dyDescent="0.25">
      <c r="A83" t="s">
        <v>52</v>
      </c>
      <c r="B83" t="s">
        <v>53</v>
      </c>
      <c r="C83" t="s">
        <v>38</v>
      </c>
      <c r="D83" t="s">
        <v>39</v>
      </c>
      <c r="J83">
        <f t="shared" si="1"/>
        <v>0</v>
      </c>
    </row>
    <row r="84" spans="1:10" x14ac:dyDescent="0.25">
      <c r="A84" t="s">
        <v>52</v>
      </c>
      <c r="B84" t="s">
        <v>53</v>
      </c>
      <c r="C84" t="s">
        <v>40</v>
      </c>
      <c r="D84" t="s">
        <v>41</v>
      </c>
      <c r="E84">
        <v>66.647722000000002</v>
      </c>
      <c r="F84">
        <v>66.934316999999993</v>
      </c>
      <c r="G84">
        <v>65.482669999999999</v>
      </c>
      <c r="H84">
        <v>68.636516</v>
      </c>
      <c r="J84">
        <f t="shared" si="1"/>
        <v>68.636516</v>
      </c>
    </row>
    <row r="85" spans="1:10" x14ac:dyDescent="0.25">
      <c r="A85" t="s">
        <v>52</v>
      </c>
      <c r="B85" t="s">
        <v>53</v>
      </c>
      <c r="C85" t="s">
        <v>42</v>
      </c>
      <c r="D85" t="s">
        <v>43</v>
      </c>
      <c r="J85">
        <f t="shared" si="1"/>
        <v>0</v>
      </c>
    </row>
    <row r="86" spans="1:10" x14ac:dyDescent="0.25">
      <c r="A86" t="s">
        <v>52</v>
      </c>
      <c r="B86" t="s">
        <v>53</v>
      </c>
      <c r="C86" t="s">
        <v>44</v>
      </c>
      <c r="D86" t="s">
        <v>45</v>
      </c>
      <c r="E86">
        <v>36</v>
      </c>
      <c r="J86">
        <f t="shared" si="1"/>
        <v>36</v>
      </c>
    </row>
    <row r="87" spans="1:10" x14ac:dyDescent="0.25">
      <c r="A87" t="s">
        <v>54</v>
      </c>
      <c r="B87" t="s">
        <v>55</v>
      </c>
      <c r="C87" t="s">
        <v>11</v>
      </c>
      <c r="D87" t="s">
        <v>12</v>
      </c>
      <c r="G87">
        <v>71.63</v>
      </c>
      <c r="J87">
        <f t="shared" si="1"/>
        <v>71.63</v>
      </c>
    </row>
    <row r="88" spans="1:10" x14ac:dyDescent="0.25">
      <c r="A88" t="s">
        <v>54</v>
      </c>
      <c r="B88" t="s">
        <v>55</v>
      </c>
      <c r="C88" t="s">
        <v>14</v>
      </c>
      <c r="D88" t="s">
        <v>15</v>
      </c>
      <c r="G88">
        <v>73.75</v>
      </c>
      <c r="J88">
        <f t="shared" si="1"/>
        <v>73.75</v>
      </c>
    </row>
    <row r="89" spans="1:10" x14ac:dyDescent="0.25">
      <c r="A89" t="s">
        <v>54</v>
      </c>
      <c r="B89" t="s">
        <v>55</v>
      </c>
      <c r="C89" t="s">
        <v>16</v>
      </c>
      <c r="D89" t="s">
        <v>17</v>
      </c>
      <c r="G89">
        <v>69.56</v>
      </c>
      <c r="J89">
        <f t="shared" si="1"/>
        <v>69.56</v>
      </c>
    </row>
    <row r="90" spans="1:10" x14ac:dyDescent="0.25">
      <c r="A90" t="s">
        <v>54</v>
      </c>
      <c r="B90" t="s">
        <v>55</v>
      </c>
      <c r="C90" t="s">
        <v>18</v>
      </c>
      <c r="D90" t="s">
        <v>19</v>
      </c>
      <c r="G90">
        <v>65.23</v>
      </c>
      <c r="J90">
        <f t="shared" si="1"/>
        <v>65.23</v>
      </c>
    </row>
    <row r="91" spans="1:10" x14ac:dyDescent="0.25">
      <c r="A91" t="s">
        <v>54</v>
      </c>
      <c r="B91" t="s">
        <v>55</v>
      </c>
      <c r="C91" t="s">
        <v>20</v>
      </c>
      <c r="D91" t="s">
        <v>21</v>
      </c>
      <c r="G91">
        <v>75.37</v>
      </c>
      <c r="J91">
        <f t="shared" si="1"/>
        <v>75.37</v>
      </c>
    </row>
    <row r="92" spans="1:10" x14ac:dyDescent="0.25">
      <c r="A92" t="s">
        <v>54</v>
      </c>
      <c r="B92" t="s">
        <v>55</v>
      </c>
      <c r="C92" t="s">
        <v>22</v>
      </c>
      <c r="D92" t="s">
        <v>23</v>
      </c>
      <c r="G92">
        <v>57.1</v>
      </c>
      <c r="J92">
        <f t="shared" si="1"/>
        <v>57.1</v>
      </c>
    </row>
    <row r="93" spans="1:10" x14ac:dyDescent="0.25">
      <c r="A93" t="s">
        <v>54</v>
      </c>
      <c r="B93" t="s">
        <v>55</v>
      </c>
      <c r="C93" t="s">
        <v>24</v>
      </c>
      <c r="D93" t="s">
        <v>25</v>
      </c>
      <c r="J93">
        <f t="shared" si="1"/>
        <v>0</v>
      </c>
    </row>
    <row r="94" spans="1:10" x14ac:dyDescent="0.25">
      <c r="A94" t="s">
        <v>54</v>
      </c>
      <c r="B94" t="s">
        <v>55</v>
      </c>
      <c r="C94" t="s">
        <v>26</v>
      </c>
      <c r="D94" t="s">
        <v>27</v>
      </c>
      <c r="J94">
        <f t="shared" si="1"/>
        <v>0</v>
      </c>
    </row>
    <row r="95" spans="1:10" x14ac:dyDescent="0.25">
      <c r="A95" t="s">
        <v>54</v>
      </c>
      <c r="B95" t="s">
        <v>55</v>
      </c>
      <c r="C95" t="s">
        <v>28</v>
      </c>
      <c r="D95" t="s">
        <v>29</v>
      </c>
      <c r="E95">
        <v>7</v>
      </c>
      <c r="J95">
        <f t="shared" si="1"/>
        <v>7</v>
      </c>
    </row>
    <row r="96" spans="1:10" x14ac:dyDescent="0.25">
      <c r="A96" t="s">
        <v>54</v>
      </c>
      <c r="B96" t="s">
        <v>55</v>
      </c>
      <c r="C96" t="s">
        <v>30</v>
      </c>
      <c r="D96" t="s">
        <v>31</v>
      </c>
      <c r="J96">
        <f t="shared" si="1"/>
        <v>0</v>
      </c>
    </row>
    <row r="97" spans="1:10" x14ac:dyDescent="0.25">
      <c r="A97" t="s">
        <v>54</v>
      </c>
      <c r="B97" t="s">
        <v>55</v>
      </c>
      <c r="C97" t="s">
        <v>32</v>
      </c>
      <c r="D97" t="s">
        <v>33</v>
      </c>
      <c r="E97">
        <v>14</v>
      </c>
      <c r="F97">
        <v>14</v>
      </c>
      <c r="G97">
        <v>14</v>
      </c>
      <c r="H97">
        <v>14</v>
      </c>
      <c r="I97">
        <v>14</v>
      </c>
      <c r="J97">
        <f t="shared" si="1"/>
        <v>14</v>
      </c>
    </row>
    <row r="98" spans="1:10" x14ac:dyDescent="0.25">
      <c r="A98" t="s">
        <v>54</v>
      </c>
      <c r="B98" t="s">
        <v>55</v>
      </c>
      <c r="C98" t="s">
        <v>34</v>
      </c>
      <c r="D98" t="s">
        <v>35</v>
      </c>
      <c r="E98">
        <v>52.857143402099602</v>
      </c>
      <c r="F98">
        <v>47.619049072265597</v>
      </c>
      <c r="G98">
        <v>37.619049072265597</v>
      </c>
      <c r="H98">
        <v>36.320755004882798</v>
      </c>
      <c r="I98">
        <v>41.981132507324197</v>
      </c>
      <c r="J98">
        <f t="shared" si="1"/>
        <v>52.857143402099602</v>
      </c>
    </row>
    <row r="99" spans="1:10" x14ac:dyDescent="0.25">
      <c r="A99" t="s">
        <v>54</v>
      </c>
      <c r="B99" t="s">
        <v>55</v>
      </c>
      <c r="C99" t="s">
        <v>36</v>
      </c>
      <c r="D99" t="s">
        <v>37</v>
      </c>
      <c r="E99">
        <v>26.316877756672199</v>
      </c>
      <c r="F99">
        <v>41.3987285647448</v>
      </c>
      <c r="G99">
        <v>30.167545781570801</v>
      </c>
      <c r="J99">
        <f t="shared" si="1"/>
        <v>41.3987285647448</v>
      </c>
    </row>
    <row r="100" spans="1:10" x14ac:dyDescent="0.25">
      <c r="A100" t="s">
        <v>54</v>
      </c>
      <c r="B100" t="s">
        <v>55</v>
      </c>
      <c r="C100" t="s">
        <v>38</v>
      </c>
      <c r="D100" t="s">
        <v>39</v>
      </c>
      <c r="E100">
        <v>21.880785237053701</v>
      </c>
      <c r="F100">
        <v>16.7771161135794</v>
      </c>
      <c r="G100">
        <v>21.122196411149801</v>
      </c>
      <c r="J100">
        <f t="shared" si="1"/>
        <v>21.880785237053701</v>
      </c>
    </row>
    <row r="101" spans="1:10" x14ac:dyDescent="0.25">
      <c r="A101" t="s">
        <v>54</v>
      </c>
      <c r="B101" t="s">
        <v>55</v>
      </c>
      <c r="C101" t="s">
        <v>40</v>
      </c>
      <c r="D101" t="s">
        <v>41</v>
      </c>
      <c r="E101">
        <v>86.163347000000002</v>
      </c>
      <c r="F101">
        <v>85.155113</v>
      </c>
      <c r="G101">
        <v>81.719120000000004</v>
      </c>
      <c r="H101">
        <v>85.337053999999995</v>
      </c>
      <c r="J101">
        <f t="shared" si="1"/>
        <v>86.163347000000002</v>
      </c>
    </row>
    <row r="102" spans="1:10" x14ac:dyDescent="0.25">
      <c r="A102" t="s">
        <v>54</v>
      </c>
      <c r="B102" t="s">
        <v>55</v>
      </c>
      <c r="C102" t="s">
        <v>42</v>
      </c>
      <c r="D102" t="s">
        <v>43</v>
      </c>
      <c r="J102">
        <f t="shared" si="1"/>
        <v>0</v>
      </c>
    </row>
    <row r="103" spans="1:10" x14ac:dyDescent="0.25">
      <c r="A103" t="s">
        <v>54</v>
      </c>
      <c r="B103" t="s">
        <v>55</v>
      </c>
      <c r="C103" t="s">
        <v>44</v>
      </c>
      <c r="D103" t="s">
        <v>45</v>
      </c>
      <c r="E103">
        <v>11.5</v>
      </c>
      <c r="J103">
        <f t="shared" si="1"/>
        <v>11.5</v>
      </c>
    </row>
    <row r="104" spans="1:10" x14ac:dyDescent="0.25">
      <c r="A104" t="s">
        <v>56</v>
      </c>
      <c r="B104" t="s">
        <v>57</v>
      </c>
      <c r="C104" t="s">
        <v>11</v>
      </c>
      <c r="D104" t="s">
        <v>12</v>
      </c>
      <c r="G104">
        <v>99.32</v>
      </c>
      <c r="J104">
        <f t="shared" si="1"/>
        <v>99.32</v>
      </c>
    </row>
    <row r="105" spans="1:10" x14ac:dyDescent="0.25">
      <c r="A105" t="s">
        <v>56</v>
      </c>
      <c r="B105" t="s">
        <v>57</v>
      </c>
      <c r="C105" t="s">
        <v>14</v>
      </c>
      <c r="D105" t="s">
        <v>15</v>
      </c>
      <c r="G105">
        <v>100</v>
      </c>
      <c r="J105">
        <f t="shared" si="1"/>
        <v>100</v>
      </c>
    </row>
    <row r="106" spans="1:10" x14ac:dyDescent="0.25">
      <c r="A106" t="s">
        <v>56</v>
      </c>
      <c r="B106" t="s">
        <v>57</v>
      </c>
      <c r="C106" t="s">
        <v>16</v>
      </c>
      <c r="D106" t="s">
        <v>17</v>
      </c>
      <c r="G106">
        <v>98.59</v>
      </c>
      <c r="J106">
        <f t="shared" si="1"/>
        <v>98.59</v>
      </c>
    </row>
    <row r="107" spans="1:10" x14ac:dyDescent="0.25">
      <c r="A107" t="s">
        <v>56</v>
      </c>
      <c r="B107" t="s">
        <v>57</v>
      </c>
      <c r="C107" t="s">
        <v>18</v>
      </c>
      <c r="D107" t="s">
        <v>19</v>
      </c>
      <c r="G107">
        <v>98.3</v>
      </c>
      <c r="J107">
        <f t="shared" si="1"/>
        <v>98.3</v>
      </c>
    </row>
    <row r="108" spans="1:10" x14ac:dyDescent="0.25">
      <c r="A108" t="s">
        <v>56</v>
      </c>
      <c r="B108" t="s">
        <v>57</v>
      </c>
      <c r="C108" t="s">
        <v>20</v>
      </c>
      <c r="D108" t="s">
        <v>21</v>
      </c>
      <c r="G108">
        <v>100</v>
      </c>
      <c r="J108">
        <f t="shared" si="1"/>
        <v>100</v>
      </c>
    </row>
    <row r="109" spans="1:10" x14ac:dyDescent="0.25">
      <c r="A109" t="s">
        <v>56</v>
      </c>
      <c r="B109" t="s">
        <v>57</v>
      </c>
      <c r="C109" t="s">
        <v>22</v>
      </c>
      <c r="D109" t="s">
        <v>23</v>
      </c>
      <c r="G109">
        <v>86.48</v>
      </c>
      <c r="J109">
        <f t="shared" si="1"/>
        <v>86.48</v>
      </c>
    </row>
    <row r="110" spans="1:10" x14ac:dyDescent="0.25">
      <c r="A110" t="s">
        <v>56</v>
      </c>
      <c r="B110" t="s">
        <v>57</v>
      </c>
      <c r="C110" t="s">
        <v>24</v>
      </c>
      <c r="D110" t="s">
        <v>25</v>
      </c>
      <c r="J110">
        <f t="shared" si="1"/>
        <v>0</v>
      </c>
    </row>
    <row r="111" spans="1:10" x14ac:dyDescent="0.25">
      <c r="A111" t="s">
        <v>56</v>
      </c>
      <c r="B111" t="s">
        <v>57</v>
      </c>
      <c r="C111" t="s">
        <v>26</v>
      </c>
      <c r="D111" t="s">
        <v>27</v>
      </c>
      <c r="J111">
        <f t="shared" si="1"/>
        <v>0</v>
      </c>
    </row>
    <row r="112" spans="1:10" x14ac:dyDescent="0.25">
      <c r="A112" t="s">
        <v>56</v>
      </c>
      <c r="B112" t="s">
        <v>57</v>
      </c>
      <c r="C112" t="s">
        <v>28</v>
      </c>
      <c r="D112" t="s">
        <v>29</v>
      </c>
      <c r="E112">
        <v>8</v>
      </c>
      <c r="J112">
        <f t="shared" si="1"/>
        <v>8</v>
      </c>
    </row>
    <row r="113" spans="1:10" x14ac:dyDescent="0.25">
      <c r="A113" t="s">
        <v>56</v>
      </c>
      <c r="B113" t="s">
        <v>57</v>
      </c>
      <c r="C113" t="s">
        <v>30</v>
      </c>
      <c r="D113" t="s">
        <v>31</v>
      </c>
      <c r="E113">
        <v>60.226085197135099</v>
      </c>
      <c r="F113">
        <v>69.321574859095605</v>
      </c>
      <c r="G113">
        <v>70.010911765241701</v>
      </c>
      <c r="H113">
        <v>58.0466964106785</v>
      </c>
      <c r="J113">
        <f t="shared" si="1"/>
        <v>70.010911765241701</v>
      </c>
    </row>
    <row r="114" spans="1:10" x14ac:dyDescent="0.25">
      <c r="A114" t="s">
        <v>56</v>
      </c>
      <c r="B114" t="s">
        <v>57</v>
      </c>
      <c r="C114" t="s">
        <v>32</v>
      </c>
      <c r="D114" t="s">
        <v>33</v>
      </c>
      <c r="E114">
        <v>11</v>
      </c>
      <c r="F114">
        <v>11</v>
      </c>
      <c r="G114">
        <v>11</v>
      </c>
      <c r="H114">
        <v>11</v>
      </c>
      <c r="I114">
        <v>11</v>
      </c>
      <c r="J114">
        <f t="shared" si="1"/>
        <v>11</v>
      </c>
    </row>
    <row r="115" spans="1:10" x14ac:dyDescent="0.25">
      <c r="A115" t="s">
        <v>56</v>
      </c>
      <c r="B115" t="s">
        <v>57</v>
      </c>
      <c r="C115" t="s">
        <v>34</v>
      </c>
      <c r="D115" t="s">
        <v>35</v>
      </c>
      <c r="E115">
        <v>94.761901855468807</v>
      </c>
      <c r="F115">
        <v>93.809524536132798</v>
      </c>
      <c r="G115">
        <v>94.761901855468807</v>
      </c>
      <c r="H115">
        <v>95.283020019531193</v>
      </c>
      <c r="I115">
        <v>95.754714965820298</v>
      </c>
      <c r="J115">
        <f t="shared" si="1"/>
        <v>95.754714965820298</v>
      </c>
    </row>
    <row r="116" spans="1:10" x14ac:dyDescent="0.25">
      <c r="A116" t="s">
        <v>56</v>
      </c>
      <c r="B116" t="s">
        <v>57</v>
      </c>
      <c r="C116" t="s">
        <v>36</v>
      </c>
      <c r="D116" t="s">
        <v>37</v>
      </c>
      <c r="J116">
        <f t="shared" si="1"/>
        <v>0</v>
      </c>
    </row>
    <row r="117" spans="1:10" x14ac:dyDescent="0.25">
      <c r="A117" t="s">
        <v>56</v>
      </c>
      <c r="B117" t="s">
        <v>57</v>
      </c>
      <c r="C117" t="s">
        <v>38</v>
      </c>
      <c r="D117" t="s">
        <v>39</v>
      </c>
      <c r="J117">
        <f t="shared" si="1"/>
        <v>0</v>
      </c>
    </row>
    <row r="118" spans="1:10" x14ac:dyDescent="0.25">
      <c r="A118" t="s">
        <v>56</v>
      </c>
      <c r="B118" t="s">
        <v>57</v>
      </c>
      <c r="C118" t="s">
        <v>40</v>
      </c>
      <c r="D118" t="s">
        <v>41</v>
      </c>
      <c r="E118">
        <v>93.269492</v>
      </c>
      <c r="F118">
        <v>93.408546999999999</v>
      </c>
      <c r="G118">
        <v>93.331624000000005</v>
      </c>
      <c r="H118">
        <v>92.391570000000002</v>
      </c>
      <c r="J118">
        <f t="shared" si="1"/>
        <v>93.408546999999999</v>
      </c>
    </row>
    <row r="119" spans="1:10" x14ac:dyDescent="0.25">
      <c r="A119" t="s">
        <v>56</v>
      </c>
      <c r="B119" t="s">
        <v>57</v>
      </c>
      <c r="C119" t="s">
        <v>42</v>
      </c>
      <c r="D119" t="s">
        <v>43</v>
      </c>
      <c r="J119">
        <f t="shared" si="1"/>
        <v>0</v>
      </c>
    </row>
    <row r="120" spans="1:10" x14ac:dyDescent="0.25">
      <c r="A120" t="s">
        <v>56</v>
      </c>
      <c r="B120" t="s">
        <v>57</v>
      </c>
      <c r="C120" t="s">
        <v>44</v>
      </c>
      <c r="D120" t="s">
        <v>45</v>
      </c>
      <c r="E120">
        <v>2</v>
      </c>
      <c r="J120">
        <f t="shared" si="1"/>
        <v>2</v>
      </c>
    </row>
    <row r="121" spans="1:10" x14ac:dyDescent="0.25">
      <c r="A121" t="s">
        <v>58</v>
      </c>
      <c r="B121" t="s">
        <v>59</v>
      </c>
      <c r="C121" t="s">
        <v>11</v>
      </c>
      <c r="D121" t="s">
        <v>12</v>
      </c>
      <c r="G121">
        <v>99.95</v>
      </c>
      <c r="J121">
        <f t="shared" si="1"/>
        <v>99.95</v>
      </c>
    </row>
    <row r="122" spans="1:10" x14ac:dyDescent="0.25">
      <c r="A122" t="s">
        <v>58</v>
      </c>
      <c r="B122" t="s">
        <v>59</v>
      </c>
      <c r="C122" t="s">
        <v>14</v>
      </c>
      <c r="D122" t="s">
        <v>15</v>
      </c>
      <c r="G122">
        <v>100</v>
      </c>
      <c r="J122">
        <f t="shared" si="1"/>
        <v>100</v>
      </c>
    </row>
    <row r="123" spans="1:10" x14ac:dyDescent="0.25">
      <c r="A123" t="s">
        <v>58</v>
      </c>
      <c r="B123" t="s">
        <v>59</v>
      </c>
      <c r="C123" t="s">
        <v>16</v>
      </c>
      <c r="D123" t="s">
        <v>17</v>
      </c>
      <c r="G123">
        <v>99.9</v>
      </c>
      <c r="J123">
        <f t="shared" si="1"/>
        <v>99.9</v>
      </c>
    </row>
    <row r="124" spans="1:10" x14ac:dyDescent="0.25">
      <c r="A124" t="s">
        <v>58</v>
      </c>
      <c r="B124" t="s">
        <v>59</v>
      </c>
      <c r="C124" t="s">
        <v>18</v>
      </c>
      <c r="D124" t="s">
        <v>19</v>
      </c>
      <c r="G124">
        <v>100</v>
      </c>
      <c r="J124">
        <f t="shared" si="1"/>
        <v>100</v>
      </c>
    </row>
    <row r="125" spans="1:10" x14ac:dyDescent="0.25">
      <c r="A125" t="s">
        <v>58</v>
      </c>
      <c r="B125" t="s">
        <v>59</v>
      </c>
      <c r="C125" t="s">
        <v>20</v>
      </c>
      <c r="D125" t="s">
        <v>21</v>
      </c>
      <c r="G125">
        <v>100</v>
      </c>
      <c r="J125">
        <f t="shared" si="1"/>
        <v>100</v>
      </c>
    </row>
    <row r="126" spans="1:10" x14ac:dyDescent="0.25">
      <c r="A126" t="s">
        <v>58</v>
      </c>
      <c r="B126" t="s">
        <v>59</v>
      </c>
      <c r="C126" t="s">
        <v>22</v>
      </c>
      <c r="D126" t="s">
        <v>23</v>
      </c>
      <c r="G126">
        <v>100</v>
      </c>
      <c r="J126">
        <f t="shared" si="1"/>
        <v>100</v>
      </c>
    </row>
    <row r="127" spans="1:10" x14ac:dyDescent="0.25">
      <c r="A127" t="s">
        <v>58</v>
      </c>
      <c r="B127" t="s">
        <v>59</v>
      </c>
      <c r="C127" t="s">
        <v>24</v>
      </c>
      <c r="D127" t="s">
        <v>25</v>
      </c>
      <c r="J127">
        <f t="shared" si="1"/>
        <v>0</v>
      </c>
    </row>
    <row r="128" spans="1:10" x14ac:dyDescent="0.25">
      <c r="A128" t="s">
        <v>58</v>
      </c>
      <c r="B128" t="s">
        <v>59</v>
      </c>
      <c r="C128" t="s">
        <v>26</v>
      </c>
      <c r="D128" t="s">
        <v>27</v>
      </c>
      <c r="G128">
        <v>1.3</v>
      </c>
      <c r="J128">
        <f t="shared" si="1"/>
        <v>1.3</v>
      </c>
    </row>
    <row r="129" spans="1:10" x14ac:dyDescent="0.25">
      <c r="A129" t="s">
        <v>58</v>
      </c>
      <c r="B129" t="s">
        <v>59</v>
      </c>
      <c r="C129" t="s">
        <v>28</v>
      </c>
      <c r="D129" t="s">
        <v>29</v>
      </c>
      <c r="E129">
        <v>5</v>
      </c>
      <c r="J129">
        <f t="shared" si="1"/>
        <v>5</v>
      </c>
    </row>
    <row r="130" spans="1:10" x14ac:dyDescent="0.25">
      <c r="A130" t="s">
        <v>58</v>
      </c>
      <c r="B130" t="s">
        <v>59</v>
      </c>
      <c r="C130" t="s">
        <v>30</v>
      </c>
      <c r="D130" t="s">
        <v>31</v>
      </c>
      <c r="E130">
        <v>83.422537855493303</v>
      </c>
      <c r="F130">
        <v>100.056789599418</v>
      </c>
      <c r="G130">
        <v>94.407889969020303</v>
      </c>
      <c r="H130">
        <v>74.918866582674795</v>
      </c>
      <c r="J130">
        <f t="shared" si="1"/>
        <v>100.056789599418</v>
      </c>
    </row>
    <row r="131" spans="1:10" x14ac:dyDescent="0.25">
      <c r="A131" t="s">
        <v>58</v>
      </c>
      <c r="B131" t="s">
        <v>59</v>
      </c>
      <c r="C131" t="s">
        <v>32</v>
      </c>
      <c r="D131" t="s">
        <v>33</v>
      </c>
      <c r="E131">
        <v>13</v>
      </c>
      <c r="F131">
        <v>13</v>
      </c>
      <c r="G131">
        <v>13</v>
      </c>
      <c r="H131">
        <v>13</v>
      </c>
      <c r="I131">
        <v>13</v>
      </c>
      <c r="J131">
        <f t="shared" ref="J131:J194" si="2">MAX(E131:I131)</f>
        <v>13</v>
      </c>
    </row>
    <row r="132" spans="1:10" x14ac:dyDescent="0.25">
      <c r="A132" t="s">
        <v>58</v>
      </c>
      <c r="B132" t="s">
        <v>59</v>
      </c>
      <c r="C132" t="s">
        <v>34</v>
      </c>
      <c r="D132" t="s">
        <v>35</v>
      </c>
      <c r="E132">
        <v>90.476188659667997</v>
      </c>
      <c r="F132">
        <v>90.952377319335895</v>
      </c>
      <c r="G132">
        <v>85.714286804199205</v>
      </c>
      <c r="H132">
        <v>84.905662536621094</v>
      </c>
      <c r="I132">
        <v>83.490562438964801</v>
      </c>
      <c r="J132">
        <f t="shared" si="2"/>
        <v>90.952377319335895</v>
      </c>
    </row>
    <row r="133" spans="1:10" x14ac:dyDescent="0.25">
      <c r="A133" t="s">
        <v>58</v>
      </c>
      <c r="B133" t="s">
        <v>59</v>
      </c>
      <c r="C133" t="s">
        <v>36</v>
      </c>
      <c r="D133" t="s">
        <v>37</v>
      </c>
      <c r="J133">
        <f t="shared" si="2"/>
        <v>0</v>
      </c>
    </row>
    <row r="134" spans="1:10" x14ac:dyDescent="0.25">
      <c r="A134" t="s">
        <v>58</v>
      </c>
      <c r="B134" t="s">
        <v>59</v>
      </c>
      <c r="C134" t="s">
        <v>38</v>
      </c>
      <c r="D134" t="s">
        <v>39</v>
      </c>
      <c r="J134">
        <f t="shared" si="2"/>
        <v>0</v>
      </c>
    </row>
    <row r="135" spans="1:10" x14ac:dyDescent="0.25">
      <c r="A135" t="s">
        <v>58</v>
      </c>
      <c r="B135" t="s">
        <v>59</v>
      </c>
      <c r="C135" t="s">
        <v>40</v>
      </c>
      <c r="D135" t="s">
        <v>41</v>
      </c>
      <c r="E135">
        <v>93.073777000000007</v>
      </c>
      <c r="F135">
        <v>93.036648</v>
      </c>
      <c r="G135">
        <v>92.960347999999996</v>
      </c>
      <c r="H135">
        <v>93.266368</v>
      </c>
      <c r="J135">
        <f t="shared" si="2"/>
        <v>93.266368</v>
      </c>
    </row>
    <row r="136" spans="1:10" x14ac:dyDescent="0.25">
      <c r="A136" t="s">
        <v>58</v>
      </c>
      <c r="B136" t="s">
        <v>59</v>
      </c>
      <c r="C136" t="s">
        <v>42</v>
      </c>
      <c r="D136" t="s">
        <v>43</v>
      </c>
      <c r="J136">
        <f t="shared" si="2"/>
        <v>0</v>
      </c>
    </row>
    <row r="137" spans="1:10" x14ac:dyDescent="0.25">
      <c r="A137" t="s">
        <v>58</v>
      </c>
      <c r="B137" t="s">
        <v>59</v>
      </c>
      <c r="C137" t="s">
        <v>44</v>
      </c>
      <c r="D137" t="s">
        <v>45</v>
      </c>
      <c r="E137">
        <v>21</v>
      </c>
      <c r="J137">
        <f t="shared" si="2"/>
        <v>21</v>
      </c>
    </row>
    <row r="138" spans="1:10" x14ac:dyDescent="0.25">
      <c r="A138" t="s">
        <v>60</v>
      </c>
      <c r="B138" t="s">
        <v>61</v>
      </c>
      <c r="C138" t="s">
        <v>11</v>
      </c>
      <c r="D138" t="s">
        <v>12</v>
      </c>
      <c r="H138">
        <v>46.26</v>
      </c>
      <c r="J138">
        <f t="shared" si="2"/>
        <v>46.26</v>
      </c>
    </row>
    <row r="139" spans="1:10" x14ac:dyDescent="0.25">
      <c r="A139" t="s">
        <v>60</v>
      </c>
      <c r="B139" t="s">
        <v>61</v>
      </c>
      <c r="C139" t="s">
        <v>14</v>
      </c>
      <c r="D139" t="s">
        <v>15</v>
      </c>
      <c r="H139">
        <v>38.840000000000003</v>
      </c>
      <c r="J139">
        <f t="shared" si="2"/>
        <v>38.840000000000003</v>
      </c>
    </row>
    <row r="140" spans="1:10" x14ac:dyDescent="0.25">
      <c r="A140" t="s">
        <v>60</v>
      </c>
      <c r="B140" t="s">
        <v>61</v>
      </c>
      <c r="C140" t="s">
        <v>16</v>
      </c>
      <c r="D140" t="s">
        <v>17</v>
      </c>
      <c r="H140">
        <v>54.59</v>
      </c>
      <c r="J140">
        <f t="shared" si="2"/>
        <v>54.59</v>
      </c>
    </row>
    <row r="141" spans="1:10" x14ac:dyDescent="0.25">
      <c r="A141" t="s">
        <v>60</v>
      </c>
      <c r="B141" t="s">
        <v>61</v>
      </c>
      <c r="C141" t="s">
        <v>18</v>
      </c>
      <c r="D141" t="s">
        <v>19</v>
      </c>
      <c r="H141">
        <v>35.58</v>
      </c>
      <c r="J141">
        <f t="shared" si="2"/>
        <v>35.58</v>
      </c>
    </row>
    <row r="142" spans="1:10" x14ac:dyDescent="0.25">
      <c r="A142" t="s">
        <v>60</v>
      </c>
      <c r="B142" t="s">
        <v>61</v>
      </c>
      <c r="C142" t="s">
        <v>20</v>
      </c>
      <c r="D142" t="s">
        <v>21</v>
      </c>
      <c r="H142">
        <v>36.380000000000003</v>
      </c>
      <c r="J142">
        <f t="shared" si="2"/>
        <v>36.380000000000003</v>
      </c>
    </row>
    <row r="143" spans="1:10" x14ac:dyDescent="0.25">
      <c r="A143" t="s">
        <v>60</v>
      </c>
      <c r="B143" t="s">
        <v>61</v>
      </c>
      <c r="C143" t="s">
        <v>22</v>
      </c>
      <c r="D143" t="s">
        <v>23</v>
      </c>
      <c r="H143">
        <v>30.61</v>
      </c>
      <c r="J143">
        <f t="shared" si="2"/>
        <v>30.61</v>
      </c>
    </row>
    <row r="144" spans="1:10" x14ac:dyDescent="0.25">
      <c r="A144" t="s">
        <v>60</v>
      </c>
      <c r="B144" t="s">
        <v>61</v>
      </c>
      <c r="C144" t="s">
        <v>24</v>
      </c>
      <c r="D144" t="s">
        <v>25</v>
      </c>
      <c r="J144">
        <f t="shared" si="2"/>
        <v>0</v>
      </c>
    </row>
    <row r="145" spans="1:10" x14ac:dyDescent="0.25">
      <c r="A145" t="s">
        <v>60</v>
      </c>
      <c r="B145" t="s">
        <v>61</v>
      </c>
      <c r="C145" t="s">
        <v>26</v>
      </c>
      <c r="D145" t="s">
        <v>27</v>
      </c>
      <c r="E145">
        <v>12.1</v>
      </c>
      <c r="J145">
        <f t="shared" si="2"/>
        <v>12.1</v>
      </c>
    </row>
    <row r="146" spans="1:10" x14ac:dyDescent="0.25">
      <c r="A146" t="s">
        <v>60</v>
      </c>
      <c r="B146" t="s">
        <v>61</v>
      </c>
      <c r="C146" t="s">
        <v>28</v>
      </c>
      <c r="D146" t="s">
        <v>29</v>
      </c>
      <c r="E146">
        <v>10</v>
      </c>
      <c r="J146">
        <f t="shared" si="2"/>
        <v>10</v>
      </c>
    </row>
    <row r="147" spans="1:10" x14ac:dyDescent="0.25">
      <c r="A147" t="s">
        <v>60</v>
      </c>
      <c r="B147" t="s">
        <v>61</v>
      </c>
      <c r="C147" t="s">
        <v>30</v>
      </c>
      <c r="D147" t="s">
        <v>31</v>
      </c>
      <c r="F147">
        <v>22.189999462647801</v>
      </c>
      <c r="G147">
        <v>16.822426697795802</v>
      </c>
      <c r="J147">
        <f t="shared" si="2"/>
        <v>22.189999462647801</v>
      </c>
    </row>
    <row r="148" spans="1:10" x14ac:dyDescent="0.25">
      <c r="A148" t="s">
        <v>60</v>
      </c>
      <c r="B148" t="s">
        <v>61</v>
      </c>
      <c r="C148" t="s">
        <v>32</v>
      </c>
      <c r="D148" t="s">
        <v>33</v>
      </c>
      <c r="E148">
        <v>10</v>
      </c>
      <c r="F148">
        <v>10</v>
      </c>
      <c r="G148">
        <v>10</v>
      </c>
      <c r="H148">
        <v>10</v>
      </c>
      <c r="I148">
        <v>9</v>
      </c>
      <c r="J148">
        <f t="shared" si="2"/>
        <v>10</v>
      </c>
    </row>
    <row r="149" spans="1:10" x14ac:dyDescent="0.25">
      <c r="A149" t="s">
        <v>60</v>
      </c>
      <c r="B149" t="s">
        <v>61</v>
      </c>
      <c r="C149" t="s">
        <v>34</v>
      </c>
      <c r="D149" t="s">
        <v>35</v>
      </c>
      <c r="E149">
        <v>22.857143402099599</v>
      </c>
      <c r="F149">
        <v>15.238095283508301</v>
      </c>
      <c r="G149">
        <v>21.428571701049801</v>
      </c>
      <c r="H149">
        <v>16.981132507324201</v>
      </c>
      <c r="I149">
        <v>12.2641506195068</v>
      </c>
      <c r="J149">
        <f t="shared" si="2"/>
        <v>22.857143402099599</v>
      </c>
    </row>
    <row r="150" spans="1:10" x14ac:dyDescent="0.25">
      <c r="A150" t="s">
        <v>60</v>
      </c>
      <c r="B150" t="s">
        <v>61</v>
      </c>
      <c r="C150" t="s">
        <v>36</v>
      </c>
      <c r="D150" t="s">
        <v>37</v>
      </c>
      <c r="J150">
        <f t="shared" si="2"/>
        <v>0</v>
      </c>
    </row>
    <row r="151" spans="1:10" x14ac:dyDescent="0.25">
      <c r="A151" t="s">
        <v>60</v>
      </c>
      <c r="B151" t="s">
        <v>61</v>
      </c>
      <c r="C151" t="s">
        <v>38</v>
      </c>
      <c r="D151" t="s">
        <v>39</v>
      </c>
      <c r="J151">
        <f t="shared" si="2"/>
        <v>0</v>
      </c>
    </row>
    <row r="152" spans="1:10" x14ac:dyDescent="0.25">
      <c r="A152" t="s">
        <v>60</v>
      </c>
      <c r="B152" t="s">
        <v>61</v>
      </c>
      <c r="C152" t="s">
        <v>40</v>
      </c>
      <c r="D152" t="s">
        <v>41</v>
      </c>
      <c r="E152">
        <v>85.660171000000005</v>
      </c>
      <c r="F152">
        <v>81.847132999999999</v>
      </c>
      <c r="G152">
        <v>81.798897999999994</v>
      </c>
      <c r="H152">
        <v>85.460871999999995</v>
      </c>
      <c r="J152">
        <f t="shared" si="2"/>
        <v>85.660171000000005</v>
      </c>
    </row>
    <row r="153" spans="1:10" x14ac:dyDescent="0.25">
      <c r="A153" t="s">
        <v>60</v>
      </c>
      <c r="B153" t="s">
        <v>61</v>
      </c>
      <c r="C153" t="s">
        <v>42</v>
      </c>
      <c r="D153" t="s">
        <v>43</v>
      </c>
      <c r="J153">
        <f t="shared" si="2"/>
        <v>0</v>
      </c>
    </row>
    <row r="154" spans="1:10" x14ac:dyDescent="0.25">
      <c r="A154" t="s">
        <v>60</v>
      </c>
      <c r="B154" t="s">
        <v>61</v>
      </c>
      <c r="C154" t="s">
        <v>44</v>
      </c>
      <c r="D154" t="s">
        <v>45</v>
      </c>
      <c r="E154">
        <v>3.5</v>
      </c>
      <c r="J154">
        <f t="shared" si="2"/>
        <v>3.5</v>
      </c>
    </row>
    <row r="155" spans="1:10" x14ac:dyDescent="0.25">
      <c r="A155" t="s">
        <v>62</v>
      </c>
      <c r="B155" t="s">
        <v>63</v>
      </c>
      <c r="C155" t="s">
        <v>11</v>
      </c>
      <c r="D155" t="s">
        <v>12</v>
      </c>
      <c r="J155">
        <f t="shared" si="2"/>
        <v>0</v>
      </c>
    </row>
    <row r="156" spans="1:10" x14ac:dyDescent="0.25">
      <c r="A156" t="s">
        <v>62</v>
      </c>
      <c r="B156" t="s">
        <v>63</v>
      </c>
      <c r="C156" t="s">
        <v>14</v>
      </c>
      <c r="D156" t="s">
        <v>15</v>
      </c>
      <c r="J156">
        <f t="shared" si="2"/>
        <v>0</v>
      </c>
    </row>
    <row r="157" spans="1:10" x14ac:dyDescent="0.25">
      <c r="A157" t="s">
        <v>62</v>
      </c>
      <c r="B157" t="s">
        <v>63</v>
      </c>
      <c r="C157" t="s">
        <v>16</v>
      </c>
      <c r="D157" t="s">
        <v>17</v>
      </c>
      <c r="J157">
        <f t="shared" si="2"/>
        <v>0</v>
      </c>
    </row>
    <row r="158" spans="1:10" x14ac:dyDescent="0.25">
      <c r="A158" t="s">
        <v>62</v>
      </c>
      <c r="B158" t="s">
        <v>63</v>
      </c>
      <c r="C158" t="s">
        <v>18</v>
      </c>
      <c r="D158" t="s">
        <v>19</v>
      </c>
      <c r="J158">
        <f t="shared" si="2"/>
        <v>0</v>
      </c>
    </row>
    <row r="159" spans="1:10" x14ac:dyDescent="0.25">
      <c r="A159" t="s">
        <v>62</v>
      </c>
      <c r="B159" t="s">
        <v>63</v>
      </c>
      <c r="C159" t="s">
        <v>20</v>
      </c>
      <c r="D159" t="s">
        <v>21</v>
      </c>
      <c r="J159">
        <f t="shared" si="2"/>
        <v>0</v>
      </c>
    </row>
    <row r="160" spans="1:10" x14ac:dyDescent="0.25">
      <c r="A160" t="s">
        <v>62</v>
      </c>
      <c r="B160" t="s">
        <v>63</v>
      </c>
      <c r="C160" t="s">
        <v>22</v>
      </c>
      <c r="D160" t="s">
        <v>23</v>
      </c>
      <c r="J160">
        <f t="shared" si="2"/>
        <v>0</v>
      </c>
    </row>
    <row r="161" spans="1:10" x14ac:dyDescent="0.25">
      <c r="A161" t="s">
        <v>62</v>
      </c>
      <c r="B161" t="s">
        <v>63</v>
      </c>
      <c r="C161" t="s">
        <v>24</v>
      </c>
      <c r="D161" t="s">
        <v>25</v>
      </c>
      <c r="J161">
        <f t="shared" si="2"/>
        <v>0</v>
      </c>
    </row>
    <row r="162" spans="1:10" x14ac:dyDescent="0.25">
      <c r="A162" t="s">
        <v>62</v>
      </c>
      <c r="B162" t="s">
        <v>63</v>
      </c>
      <c r="C162" t="s">
        <v>26</v>
      </c>
      <c r="D162" t="s">
        <v>27</v>
      </c>
      <c r="J162">
        <f t="shared" si="2"/>
        <v>0</v>
      </c>
    </row>
    <row r="163" spans="1:10" x14ac:dyDescent="0.25">
      <c r="A163" t="s">
        <v>62</v>
      </c>
      <c r="B163" t="s">
        <v>63</v>
      </c>
      <c r="C163" t="s">
        <v>28</v>
      </c>
      <c r="D163" t="s">
        <v>29</v>
      </c>
      <c r="E163">
        <v>3</v>
      </c>
      <c r="J163">
        <f t="shared" si="2"/>
        <v>3</v>
      </c>
    </row>
    <row r="164" spans="1:10" x14ac:dyDescent="0.25">
      <c r="A164" t="s">
        <v>62</v>
      </c>
      <c r="B164" t="s">
        <v>63</v>
      </c>
      <c r="C164" t="s">
        <v>30</v>
      </c>
      <c r="D164" t="s">
        <v>31</v>
      </c>
      <c r="E164">
        <v>57.828383091839399</v>
      </c>
      <c r="F164">
        <v>82.256030249344505</v>
      </c>
      <c r="G164">
        <v>87.390331655946696</v>
      </c>
      <c r="H164">
        <v>82.159553960693202</v>
      </c>
      <c r="J164">
        <f t="shared" si="2"/>
        <v>87.390331655946696</v>
      </c>
    </row>
    <row r="165" spans="1:10" x14ac:dyDescent="0.25">
      <c r="A165" t="s">
        <v>62</v>
      </c>
      <c r="B165" t="s">
        <v>63</v>
      </c>
      <c r="C165" t="s">
        <v>32</v>
      </c>
      <c r="D165" t="s">
        <v>33</v>
      </c>
      <c r="E165">
        <v>12</v>
      </c>
      <c r="F165">
        <v>12</v>
      </c>
      <c r="G165">
        <v>12</v>
      </c>
      <c r="H165">
        <v>12</v>
      </c>
      <c r="I165">
        <v>12</v>
      </c>
      <c r="J165">
        <f t="shared" si="2"/>
        <v>12</v>
      </c>
    </row>
    <row r="166" spans="1:10" x14ac:dyDescent="0.25">
      <c r="A166" t="s">
        <v>62</v>
      </c>
      <c r="B166" t="s">
        <v>63</v>
      </c>
      <c r="C166" t="s">
        <v>34</v>
      </c>
      <c r="D166" t="s">
        <v>35</v>
      </c>
      <c r="E166">
        <v>82.380950927734403</v>
      </c>
      <c r="F166">
        <v>83.333335876464801</v>
      </c>
      <c r="G166">
        <v>83.809524536132798</v>
      </c>
      <c r="H166">
        <v>84.4339599609375</v>
      </c>
      <c r="I166">
        <v>88.207550048828097</v>
      </c>
      <c r="J166">
        <f t="shared" si="2"/>
        <v>88.207550048828097</v>
      </c>
    </row>
    <row r="167" spans="1:10" x14ac:dyDescent="0.25">
      <c r="A167" t="s">
        <v>62</v>
      </c>
      <c r="B167" t="s">
        <v>63</v>
      </c>
      <c r="C167" t="s">
        <v>36</v>
      </c>
      <c r="D167" t="s">
        <v>37</v>
      </c>
      <c r="J167">
        <f t="shared" si="2"/>
        <v>0</v>
      </c>
    </row>
    <row r="168" spans="1:10" x14ac:dyDescent="0.25">
      <c r="A168" t="s">
        <v>62</v>
      </c>
      <c r="B168" t="s">
        <v>63</v>
      </c>
      <c r="C168" t="s">
        <v>38</v>
      </c>
      <c r="D168" t="s">
        <v>39</v>
      </c>
      <c r="J168">
        <f t="shared" si="2"/>
        <v>0</v>
      </c>
    </row>
    <row r="169" spans="1:10" x14ac:dyDescent="0.25">
      <c r="A169" t="s">
        <v>62</v>
      </c>
      <c r="B169" t="s">
        <v>63</v>
      </c>
      <c r="C169" t="s">
        <v>40</v>
      </c>
      <c r="D169" t="s">
        <v>41</v>
      </c>
      <c r="E169">
        <v>76.705251000000004</v>
      </c>
      <c r="F169">
        <v>81.271855000000002</v>
      </c>
      <c r="G169">
        <v>76.725279</v>
      </c>
      <c r="H169">
        <v>82.828462999999999</v>
      </c>
      <c r="J169">
        <f t="shared" si="2"/>
        <v>82.828462999999999</v>
      </c>
    </row>
    <row r="170" spans="1:10" x14ac:dyDescent="0.25">
      <c r="A170" t="s">
        <v>62</v>
      </c>
      <c r="B170" t="s">
        <v>63</v>
      </c>
      <c r="C170" t="s">
        <v>42</v>
      </c>
      <c r="D170" t="s">
        <v>43</v>
      </c>
      <c r="J170">
        <f t="shared" si="2"/>
        <v>0</v>
      </c>
    </row>
    <row r="171" spans="1:10" x14ac:dyDescent="0.25">
      <c r="A171" t="s">
        <v>62</v>
      </c>
      <c r="B171" t="s">
        <v>63</v>
      </c>
      <c r="C171" t="s">
        <v>44</v>
      </c>
      <c r="D171" t="s">
        <v>45</v>
      </c>
      <c r="E171">
        <v>11.5</v>
      </c>
      <c r="J171">
        <f t="shared" si="2"/>
        <v>11.5</v>
      </c>
    </row>
    <row r="172" spans="1:10" x14ac:dyDescent="0.25">
      <c r="A172" t="s">
        <v>64</v>
      </c>
      <c r="B172" t="s">
        <v>65</v>
      </c>
      <c r="C172" t="s">
        <v>11</v>
      </c>
      <c r="D172" t="s">
        <v>12</v>
      </c>
      <c r="J172">
        <f t="shared" si="2"/>
        <v>0</v>
      </c>
    </row>
    <row r="173" spans="1:10" x14ac:dyDescent="0.25">
      <c r="A173" t="s">
        <v>64</v>
      </c>
      <c r="B173" t="s">
        <v>65</v>
      </c>
      <c r="C173" t="s">
        <v>14</v>
      </c>
      <c r="D173" t="s">
        <v>15</v>
      </c>
      <c r="J173">
        <f t="shared" si="2"/>
        <v>0</v>
      </c>
    </row>
    <row r="174" spans="1:10" x14ac:dyDescent="0.25">
      <c r="A174" t="s">
        <v>64</v>
      </c>
      <c r="B174" t="s">
        <v>65</v>
      </c>
      <c r="C174" t="s">
        <v>16</v>
      </c>
      <c r="D174" t="s">
        <v>17</v>
      </c>
      <c r="J174">
        <f t="shared" si="2"/>
        <v>0</v>
      </c>
    </row>
    <row r="175" spans="1:10" x14ac:dyDescent="0.25">
      <c r="A175" t="s">
        <v>64</v>
      </c>
      <c r="B175" t="s">
        <v>65</v>
      </c>
      <c r="C175" t="s">
        <v>18</v>
      </c>
      <c r="D175" t="s">
        <v>19</v>
      </c>
      <c r="J175">
        <f t="shared" si="2"/>
        <v>0</v>
      </c>
    </row>
    <row r="176" spans="1:10" x14ac:dyDescent="0.25">
      <c r="A176" t="s">
        <v>64</v>
      </c>
      <c r="B176" t="s">
        <v>65</v>
      </c>
      <c r="C176" t="s">
        <v>20</v>
      </c>
      <c r="D176" t="s">
        <v>21</v>
      </c>
      <c r="J176">
        <f t="shared" si="2"/>
        <v>0</v>
      </c>
    </row>
    <row r="177" spans="1:10" x14ac:dyDescent="0.25">
      <c r="A177" t="s">
        <v>64</v>
      </c>
      <c r="B177" t="s">
        <v>65</v>
      </c>
      <c r="C177" t="s">
        <v>22</v>
      </c>
      <c r="D177" t="s">
        <v>23</v>
      </c>
      <c r="J177">
        <f t="shared" si="2"/>
        <v>0</v>
      </c>
    </row>
    <row r="178" spans="1:10" x14ac:dyDescent="0.25">
      <c r="A178" t="s">
        <v>64</v>
      </c>
      <c r="B178" t="s">
        <v>65</v>
      </c>
      <c r="C178" t="s">
        <v>24</v>
      </c>
      <c r="D178" t="s">
        <v>25</v>
      </c>
      <c r="J178">
        <f t="shared" si="2"/>
        <v>0</v>
      </c>
    </row>
    <row r="179" spans="1:10" x14ac:dyDescent="0.25">
      <c r="A179" t="s">
        <v>64</v>
      </c>
      <c r="B179" t="s">
        <v>65</v>
      </c>
      <c r="C179" t="s">
        <v>26</v>
      </c>
      <c r="D179" t="s">
        <v>27</v>
      </c>
      <c r="J179">
        <f t="shared" si="2"/>
        <v>0</v>
      </c>
    </row>
    <row r="180" spans="1:10" x14ac:dyDescent="0.25">
      <c r="A180" t="s">
        <v>64</v>
      </c>
      <c r="B180" t="s">
        <v>65</v>
      </c>
      <c r="C180" t="s">
        <v>28</v>
      </c>
      <c r="D180" t="s">
        <v>29</v>
      </c>
      <c r="E180">
        <v>8</v>
      </c>
      <c r="J180">
        <f t="shared" si="2"/>
        <v>8</v>
      </c>
    </row>
    <row r="181" spans="1:10" x14ac:dyDescent="0.25">
      <c r="A181" t="s">
        <v>64</v>
      </c>
      <c r="B181" t="s">
        <v>65</v>
      </c>
      <c r="C181" t="s">
        <v>30</v>
      </c>
      <c r="D181" t="s">
        <v>31</v>
      </c>
      <c r="E181">
        <v>91.359810625986299</v>
      </c>
      <c r="F181">
        <v>111.598089477141</v>
      </c>
      <c r="J181">
        <f t="shared" si="2"/>
        <v>111.598089477141</v>
      </c>
    </row>
    <row r="182" spans="1:10" x14ac:dyDescent="0.25">
      <c r="A182" t="s">
        <v>64</v>
      </c>
      <c r="B182" t="s">
        <v>65</v>
      </c>
      <c r="C182" t="s">
        <v>32</v>
      </c>
      <c r="D182" t="s">
        <v>33</v>
      </c>
      <c r="E182">
        <v>9</v>
      </c>
      <c r="F182">
        <v>9</v>
      </c>
      <c r="G182">
        <v>9</v>
      </c>
      <c r="H182">
        <v>9</v>
      </c>
      <c r="I182">
        <v>9</v>
      </c>
      <c r="J182">
        <f t="shared" si="2"/>
        <v>9</v>
      </c>
    </row>
    <row r="183" spans="1:10" x14ac:dyDescent="0.25">
      <c r="A183" t="s">
        <v>64</v>
      </c>
      <c r="B183" t="s">
        <v>65</v>
      </c>
      <c r="C183" t="s">
        <v>34</v>
      </c>
      <c r="D183" t="s">
        <v>35</v>
      </c>
      <c r="E183">
        <v>53.809524536132798</v>
      </c>
      <c r="F183">
        <v>51.904762268066399</v>
      </c>
      <c r="G183">
        <v>58.5714302062988</v>
      </c>
      <c r="H183">
        <v>59.433963775634801</v>
      </c>
      <c r="I183">
        <v>59.433963775634801</v>
      </c>
      <c r="J183">
        <f t="shared" si="2"/>
        <v>59.433963775634801</v>
      </c>
    </row>
    <row r="184" spans="1:10" x14ac:dyDescent="0.25">
      <c r="A184" t="s">
        <v>64</v>
      </c>
      <c r="B184" t="s">
        <v>65</v>
      </c>
      <c r="C184" t="s">
        <v>36</v>
      </c>
      <c r="D184" t="s">
        <v>37</v>
      </c>
      <c r="J184">
        <f t="shared" si="2"/>
        <v>0</v>
      </c>
    </row>
    <row r="185" spans="1:10" x14ac:dyDescent="0.25">
      <c r="A185" t="s">
        <v>64</v>
      </c>
      <c r="B185" t="s">
        <v>65</v>
      </c>
      <c r="C185" t="s">
        <v>38</v>
      </c>
      <c r="D185" t="s">
        <v>39</v>
      </c>
      <c r="J185">
        <f t="shared" si="2"/>
        <v>0</v>
      </c>
    </row>
    <row r="186" spans="1:10" x14ac:dyDescent="0.25">
      <c r="A186" t="s">
        <v>64</v>
      </c>
      <c r="B186" t="s">
        <v>65</v>
      </c>
      <c r="C186" t="s">
        <v>40</v>
      </c>
      <c r="D186" t="s">
        <v>41</v>
      </c>
      <c r="E186">
        <v>90.565905999999998</v>
      </c>
      <c r="F186">
        <v>90.462923000000004</v>
      </c>
      <c r="G186">
        <v>87.515371999999999</v>
      </c>
      <c r="H186">
        <v>91.180304000000007</v>
      </c>
      <c r="J186">
        <f t="shared" si="2"/>
        <v>91.180304000000007</v>
      </c>
    </row>
    <row r="187" spans="1:10" x14ac:dyDescent="0.25">
      <c r="A187" t="s">
        <v>64</v>
      </c>
      <c r="B187" t="s">
        <v>65</v>
      </c>
      <c r="C187" t="s">
        <v>42</v>
      </c>
      <c r="D187" t="s">
        <v>43</v>
      </c>
      <c r="J187">
        <f t="shared" si="2"/>
        <v>0</v>
      </c>
    </row>
    <row r="188" spans="1:10" x14ac:dyDescent="0.25">
      <c r="A188" t="s">
        <v>64</v>
      </c>
      <c r="B188" t="s">
        <v>65</v>
      </c>
      <c r="C188" t="s">
        <v>44</v>
      </c>
      <c r="D188" t="s">
        <v>45</v>
      </c>
      <c r="E188">
        <v>8.3000000000000007</v>
      </c>
      <c r="J188">
        <f t="shared" si="2"/>
        <v>8.3000000000000007</v>
      </c>
    </row>
    <row r="189" spans="1:10" x14ac:dyDescent="0.25">
      <c r="A189" t="s">
        <v>66</v>
      </c>
      <c r="B189" t="s">
        <v>67</v>
      </c>
      <c r="C189" t="s">
        <v>11</v>
      </c>
      <c r="D189" t="s">
        <v>12</v>
      </c>
      <c r="G189">
        <v>52.81</v>
      </c>
      <c r="J189">
        <f t="shared" si="2"/>
        <v>52.81</v>
      </c>
    </row>
    <row r="190" spans="1:10" x14ac:dyDescent="0.25">
      <c r="A190" t="s">
        <v>66</v>
      </c>
      <c r="B190" t="s">
        <v>67</v>
      </c>
      <c r="C190" t="s">
        <v>14</v>
      </c>
      <c r="D190" t="s">
        <v>15</v>
      </c>
      <c r="G190">
        <v>43.46</v>
      </c>
      <c r="J190">
        <f t="shared" si="2"/>
        <v>43.46</v>
      </c>
    </row>
    <row r="191" spans="1:10" x14ac:dyDescent="0.25">
      <c r="A191" t="s">
        <v>66</v>
      </c>
      <c r="B191" t="s">
        <v>67</v>
      </c>
      <c r="C191" t="s">
        <v>16</v>
      </c>
      <c r="D191" t="s">
        <v>17</v>
      </c>
      <c r="G191">
        <v>62.86</v>
      </c>
      <c r="J191">
        <f t="shared" si="2"/>
        <v>62.86</v>
      </c>
    </row>
    <row r="192" spans="1:10" x14ac:dyDescent="0.25">
      <c r="A192" t="s">
        <v>66</v>
      </c>
      <c r="B192" t="s">
        <v>67</v>
      </c>
      <c r="C192" t="s">
        <v>18</v>
      </c>
      <c r="D192" t="s">
        <v>19</v>
      </c>
      <c r="G192">
        <v>48.65</v>
      </c>
      <c r="J192">
        <f t="shared" si="2"/>
        <v>48.65</v>
      </c>
    </row>
    <row r="193" spans="1:10" x14ac:dyDescent="0.25">
      <c r="A193" t="s">
        <v>66</v>
      </c>
      <c r="B193" t="s">
        <v>67</v>
      </c>
      <c r="C193" t="s">
        <v>20</v>
      </c>
      <c r="D193" t="s">
        <v>21</v>
      </c>
      <c r="G193">
        <v>47.8</v>
      </c>
      <c r="J193">
        <f t="shared" si="2"/>
        <v>47.8</v>
      </c>
    </row>
    <row r="194" spans="1:10" x14ac:dyDescent="0.25">
      <c r="A194" t="s">
        <v>66</v>
      </c>
      <c r="B194" t="s">
        <v>67</v>
      </c>
      <c r="C194" t="s">
        <v>22</v>
      </c>
      <c r="D194" t="s">
        <v>23</v>
      </c>
      <c r="G194">
        <v>46.57</v>
      </c>
      <c r="J194">
        <f t="shared" si="2"/>
        <v>46.57</v>
      </c>
    </row>
    <row r="195" spans="1:10" x14ac:dyDescent="0.25">
      <c r="A195" t="s">
        <v>66</v>
      </c>
      <c r="B195" t="s">
        <v>67</v>
      </c>
      <c r="C195" t="s">
        <v>24</v>
      </c>
      <c r="D195" t="s">
        <v>25</v>
      </c>
      <c r="J195">
        <f t="shared" ref="J195:J258" si="3">MAX(E195:I195)</f>
        <v>0</v>
      </c>
    </row>
    <row r="196" spans="1:10" x14ac:dyDescent="0.25">
      <c r="A196" t="s">
        <v>66</v>
      </c>
      <c r="B196" t="s">
        <v>67</v>
      </c>
      <c r="C196" t="s">
        <v>26</v>
      </c>
      <c r="D196" t="s">
        <v>27</v>
      </c>
      <c r="H196">
        <v>23</v>
      </c>
      <c r="J196">
        <f t="shared" si="3"/>
        <v>23</v>
      </c>
    </row>
    <row r="197" spans="1:10" x14ac:dyDescent="0.25">
      <c r="A197" t="s">
        <v>66</v>
      </c>
      <c r="B197" t="s">
        <v>67</v>
      </c>
      <c r="C197" t="s">
        <v>28</v>
      </c>
      <c r="D197" t="s">
        <v>29</v>
      </c>
      <c r="E197">
        <v>6</v>
      </c>
      <c r="J197">
        <f t="shared" si="3"/>
        <v>6</v>
      </c>
    </row>
    <row r="198" spans="1:10" x14ac:dyDescent="0.25">
      <c r="A198" t="s">
        <v>66</v>
      </c>
      <c r="B198" t="s">
        <v>67</v>
      </c>
      <c r="C198" t="s">
        <v>30</v>
      </c>
      <c r="D198" t="s">
        <v>31</v>
      </c>
      <c r="J198">
        <f t="shared" si="3"/>
        <v>0</v>
      </c>
    </row>
    <row r="199" spans="1:10" x14ac:dyDescent="0.25">
      <c r="A199" t="s">
        <v>66</v>
      </c>
      <c r="B199" t="s">
        <v>67</v>
      </c>
      <c r="C199" t="s">
        <v>32</v>
      </c>
      <c r="D199" t="s">
        <v>33</v>
      </c>
      <c r="E199">
        <v>5</v>
      </c>
      <c r="F199">
        <v>5</v>
      </c>
      <c r="G199">
        <v>5</v>
      </c>
      <c r="H199">
        <v>5</v>
      </c>
      <c r="I199">
        <v>5</v>
      </c>
      <c r="J199">
        <f t="shared" si="3"/>
        <v>5</v>
      </c>
    </row>
    <row r="200" spans="1:10" x14ac:dyDescent="0.25">
      <c r="A200" t="s">
        <v>66</v>
      </c>
      <c r="B200" t="s">
        <v>67</v>
      </c>
      <c r="C200" t="s">
        <v>34</v>
      </c>
      <c r="D200" t="s">
        <v>35</v>
      </c>
      <c r="E200">
        <v>16.190475463867202</v>
      </c>
      <c r="F200">
        <v>17.142856597900401</v>
      </c>
      <c r="G200">
        <v>18.095237731933601</v>
      </c>
      <c r="H200">
        <v>15.566038131713899</v>
      </c>
      <c r="I200">
        <v>14.622641563415501</v>
      </c>
      <c r="J200">
        <f t="shared" si="3"/>
        <v>18.095237731933601</v>
      </c>
    </row>
    <row r="201" spans="1:10" x14ac:dyDescent="0.25">
      <c r="A201" t="s">
        <v>66</v>
      </c>
      <c r="B201" t="s">
        <v>67</v>
      </c>
      <c r="C201" t="s">
        <v>36</v>
      </c>
      <c r="D201" t="s">
        <v>37</v>
      </c>
      <c r="J201">
        <f t="shared" si="3"/>
        <v>0</v>
      </c>
    </row>
    <row r="202" spans="1:10" x14ac:dyDescent="0.25">
      <c r="A202" t="s">
        <v>66</v>
      </c>
      <c r="B202" t="s">
        <v>67</v>
      </c>
      <c r="C202" t="s">
        <v>38</v>
      </c>
      <c r="D202" t="s">
        <v>39</v>
      </c>
      <c r="J202">
        <f t="shared" si="3"/>
        <v>0</v>
      </c>
    </row>
    <row r="203" spans="1:10" x14ac:dyDescent="0.25">
      <c r="A203" t="s">
        <v>66</v>
      </c>
      <c r="B203" t="s">
        <v>67</v>
      </c>
      <c r="C203" t="s">
        <v>40</v>
      </c>
      <c r="D203" t="s">
        <v>41</v>
      </c>
      <c r="E203">
        <v>80.001991000000004</v>
      </c>
      <c r="F203">
        <v>78.662711999999999</v>
      </c>
      <c r="G203">
        <v>77.041167999999999</v>
      </c>
      <c r="H203">
        <v>81.950648999999999</v>
      </c>
      <c r="J203">
        <f t="shared" si="3"/>
        <v>81.950648999999999</v>
      </c>
    </row>
    <row r="204" spans="1:10" x14ac:dyDescent="0.25">
      <c r="A204" t="s">
        <v>66</v>
      </c>
      <c r="B204" t="s">
        <v>67</v>
      </c>
      <c r="C204" t="s">
        <v>42</v>
      </c>
      <c r="D204" t="s">
        <v>43</v>
      </c>
      <c r="J204">
        <f t="shared" si="3"/>
        <v>0</v>
      </c>
    </row>
    <row r="205" spans="1:10" x14ac:dyDescent="0.25">
      <c r="A205" t="s">
        <v>66</v>
      </c>
      <c r="B205" t="s">
        <v>67</v>
      </c>
      <c r="C205" t="s">
        <v>44</v>
      </c>
      <c r="D205" t="s">
        <v>45</v>
      </c>
      <c r="E205">
        <v>19.5</v>
      </c>
      <c r="J205">
        <f t="shared" si="3"/>
        <v>19.5</v>
      </c>
    </row>
    <row r="206" spans="1:10" x14ac:dyDescent="0.25">
      <c r="A206" t="s">
        <v>68</v>
      </c>
      <c r="B206" t="s">
        <v>69</v>
      </c>
      <c r="C206" t="s">
        <v>11</v>
      </c>
      <c r="D206" t="s">
        <v>12</v>
      </c>
      <c r="J206">
        <f t="shared" si="3"/>
        <v>0</v>
      </c>
    </row>
    <row r="207" spans="1:10" x14ac:dyDescent="0.25">
      <c r="A207" t="s">
        <v>68</v>
      </c>
      <c r="B207" t="s">
        <v>69</v>
      </c>
      <c r="C207" t="s">
        <v>14</v>
      </c>
      <c r="D207" t="s">
        <v>15</v>
      </c>
      <c r="J207">
        <f t="shared" si="3"/>
        <v>0</v>
      </c>
    </row>
    <row r="208" spans="1:10" x14ac:dyDescent="0.25">
      <c r="A208" t="s">
        <v>68</v>
      </c>
      <c r="B208" t="s">
        <v>69</v>
      </c>
      <c r="C208" t="s">
        <v>16</v>
      </c>
      <c r="D208" t="s">
        <v>17</v>
      </c>
      <c r="J208">
        <f t="shared" si="3"/>
        <v>0</v>
      </c>
    </row>
    <row r="209" spans="1:10" x14ac:dyDescent="0.25">
      <c r="A209" t="s">
        <v>68</v>
      </c>
      <c r="B209" t="s">
        <v>69</v>
      </c>
      <c r="C209" t="s">
        <v>18</v>
      </c>
      <c r="D209" t="s">
        <v>19</v>
      </c>
      <c r="J209">
        <f t="shared" si="3"/>
        <v>0</v>
      </c>
    </row>
    <row r="210" spans="1:10" x14ac:dyDescent="0.25">
      <c r="A210" t="s">
        <v>68</v>
      </c>
      <c r="B210" t="s">
        <v>69</v>
      </c>
      <c r="C210" t="s">
        <v>20</v>
      </c>
      <c r="D210" t="s">
        <v>21</v>
      </c>
      <c r="J210">
        <f t="shared" si="3"/>
        <v>0</v>
      </c>
    </row>
    <row r="211" spans="1:10" x14ac:dyDescent="0.25">
      <c r="A211" t="s">
        <v>68</v>
      </c>
      <c r="B211" t="s">
        <v>69</v>
      </c>
      <c r="C211" t="s">
        <v>22</v>
      </c>
      <c r="D211" t="s">
        <v>23</v>
      </c>
      <c r="J211">
        <f t="shared" si="3"/>
        <v>0</v>
      </c>
    </row>
    <row r="212" spans="1:10" x14ac:dyDescent="0.25">
      <c r="A212" t="s">
        <v>68</v>
      </c>
      <c r="B212" t="s">
        <v>69</v>
      </c>
      <c r="C212" t="s">
        <v>24</v>
      </c>
      <c r="D212" t="s">
        <v>25</v>
      </c>
      <c r="J212">
        <f t="shared" si="3"/>
        <v>0</v>
      </c>
    </row>
    <row r="213" spans="1:10" x14ac:dyDescent="0.25">
      <c r="A213" t="s">
        <v>68</v>
      </c>
      <c r="B213" t="s">
        <v>69</v>
      </c>
      <c r="C213" t="s">
        <v>26</v>
      </c>
      <c r="D213" t="s">
        <v>27</v>
      </c>
      <c r="I213">
        <v>0</v>
      </c>
      <c r="J213">
        <f t="shared" si="3"/>
        <v>0</v>
      </c>
    </row>
    <row r="214" spans="1:10" x14ac:dyDescent="0.25">
      <c r="A214" t="s">
        <v>68</v>
      </c>
      <c r="B214" t="s">
        <v>69</v>
      </c>
      <c r="C214" t="s">
        <v>28</v>
      </c>
      <c r="D214" t="s">
        <v>29</v>
      </c>
      <c r="E214">
        <v>2</v>
      </c>
      <c r="J214">
        <f t="shared" si="3"/>
        <v>2</v>
      </c>
    </row>
    <row r="215" spans="1:10" x14ac:dyDescent="0.25">
      <c r="A215" t="s">
        <v>68</v>
      </c>
      <c r="B215" t="s">
        <v>69</v>
      </c>
      <c r="C215" t="s">
        <v>30</v>
      </c>
      <c r="D215" t="s">
        <v>31</v>
      </c>
      <c r="J215">
        <f t="shared" si="3"/>
        <v>0</v>
      </c>
    </row>
    <row r="216" spans="1:10" x14ac:dyDescent="0.25">
      <c r="A216" t="s">
        <v>68</v>
      </c>
      <c r="B216" t="s">
        <v>69</v>
      </c>
      <c r="C216" t="s">
        <v>32</v>
      </c>
      <c r="D216" t="s">
        <v>33</v>
      </c>
      <c r="E216">
        <v>11</v>
      </c>
      <c r="F216">
        <v>11</v>
      </c>
      <c r="G216">
        <v>11</v>
      </c>
      <c r="H216">
        <v>11</v>
      </c>
      <c r="I216">
        <v>11</v>
      </c>
      <c r="J216">
        <f t="shared" si="3"/>
        <v>11</v>
      </c>
    </row>
    <row r="217" spans="1:10" x14ac:dyDescent="0.25">
      <c r="A217" t="s">
        <v>68</v>
      </c>
      <c r="B217" t="s">
        <v>69</v>
      </c>
      <c r="C217" t="s">
        <v>34</v>
      </c>
      <c r="D217" t="s">
        <v>35</v>
      </c>
      <c r="E217">
        <v>83.333335876464801</v>
      </c>
      <c r="F217">
        <v>84.761901855468807</v>
      </c>
      <c r="G217">
        <v>84.761901855468807</v>
      </c>
      <c r="H217">
        <v>89.150939941406193</v>
      </c>
      <c r="I217">
        <v>89.622642517089801</v>
      </c>
      <c r="J217">
        <f t="shared" si="3"/>
        <v>89.622642517089801</v>
      </c>
    </row>
    <row r="218" spans="1:10" x14ac:dyDescent="0.25">
      <c r="A218" t="s">
        <v>68</v>
      </c>
      <c r="B218" t="s">
        <v>69</v>
      </c>
      <c r="C218" t="s">
        <v>36</v>
      </c>
      <c r="D218" t="s">
        <v>37</v>
      </c>
      <c r="J218">
        <f t="shared" si="3"/>
        <v>0</v>
      </c>
    </row>
    <row r="219" spans="1:10" x14ac:dyDescent="0.25">
      <c r="A219" t="s">
        <v>68</v>
      </c>
      <c r="B219" t="s">
        <v>69</v>
      </c>
      <c r="C219" t="s">
        <v>38</v>
      </c>
      <c r="D219" t="s">
        <v>39</v>
      </c>
      <c r="J219">
        <f t="shared" si="3"/>
        <v>0</v>
      </c>
    </row>
    <row r="220" spans="1:10" x14ac:dyDescent="0.25">
      <c r="A220" t="s">
        <v>68</v>
      </c>
      <c r="B220" t="s">
        <v>69</v>
      </c>
      <c r="C220" t="s">
        <v>40</v>
      </c>
      <c r="D220" t="s">
        <v>41</v>
      </c>
      <c r="E220">
        <v>86.776802000000004</v>
      </c>
      <c r="F220">
        <v>86.909526999999997</v>
      </c>
      <c r="G220">
        <v>87.121634999999998</v>
      </c>
      <c r="H220">
        <v>87.200547</v>
      </c>
      <c r="J220">
        <f t="shared" si="3"/>
        <v>87.200547</v>
      </c>
    </row>
    <row r="221" spans="1:10" x14ac:dyDescent="0.25">
      <c r="A221" t="s">
        <v>68</v>
      </c>
      <c r="B221" t="s">
        <v>69</v>
      </c>
      <c r="C221" t="s">
        <v>42</v>
      </c>
      <c r="D221" t="s">
        <v>43</v>
      </c>
      <c r="J221">
        <f t="shared" si="3"/>
        <v>0</v>
      </c>
    </row>
    <row r="222" spans="1:10" x14ac:dyDescent="0.25">
      <c r="A222" t="s">
        <v>68</v>
      </c>
      <c r="B222" t="s">
        <v>69</v>
      </c>
      <c r="C222" t="s">
        <v>44</v>
      </c>
      <c r="D222" t="s">
        <v>45</v>
      </c>
      <c r="E222">
        <v>16</v>
      </c>
      <c r="J222">
        <f t="shared" si="3"/>
        <v>16</v>
      </c>
    </row>
    <row r="223" spans="1:10" x14ac:dyDescent="0.25">
      <c r="A223" t="s">
        <v>70</v>
      </c>
      <c r="B223" t="s">
        <v>71</v>
      </c>
      <c r="C223" t="s">
        <v>11</v>
      </c>
      <c r="D223" t="s">
        <v>12</v>
      </c>
      <c r="J223">
        <f t="shared" si="3"/>
        <v>0</v>
      </c>
    </row>
    <row r="224" spans="1:10" x14ac:dyDescent="0.25">
      <c r="A224" t="s">
        <v>70</v>
      </c>
      <c r="B224" t="s">
        <v>71</v>
      </c>
      <c r="C224" t="s">
        <v>14</v>
      </c>
      <c r="D224" t="s">
        <v>15</v>
      </c>
      <c r="J224">
        <f t="shared" si="3"/>
        <v>0</v>
      </c>
    </row>
    <row r="225" spans="1:10" x14ac:dyDescent="0.25">
      <c r="A225" t="s">
        <v>70</v>
      </c>
      <c r="B225" t="s">
        <v>71</v>
      </c>
      <c r="C225" t="s">
        <v>16</v>
      </c>
      <c r="D225" t="s">
        <v>17</v>
      </c>
      <c r="J225">
        <f t="shared" si="3"/>
        <v>0</v>
      </c>
    </row>
    <row r="226" spans="1:10" x14ac:dyDescent="0.25">
      <c r="A226" t="s">
        <v>70</v>
      </c>
      <c r="B226" t="s">
        <v>71</v>
      </c>
      <c r="C226" t="s">
        <v>18</v>
      </c>
      <c r="D226" t="s">
        <v>19</v>
      </c>
      <c r="J226">
        <f t="shared" si="3"/>
        <v>0</v>
      </c>
    </row>
    <row r="227" spans="1:10" x14ac:dyDescent="0.25">
      <c r="A227" t="s">
        <v>70</v>
      </c>
      <c r="B227" t="s">
        <v>71</v>
      </c>
      <c r="C227" t="s">
        <v>20</v>
      </c>
      <c r="D227" t="s">
        <v>21</v>
      </c>
      <c r="J227">
        <f t="shared" si="3"/>
        <v>0</v>
      </c>
    </row>
    <row r="228" spans="1:10" x14ac:dyDescent="0.25">
      <c r="A228" t="s">
        <v>70</v>
      </c>
      <c r="B228" t="s">
        <v>71</v>
      </c>
      <c r="C228" t="s">
        <v>22</v>
      </c>
      <c r="D228" t="s">
        <v>23</v>
      </c>
      <c r="J228">
        <f t="shared" si="3"/>
        <v>0</v>
      </c>
    </row>
    <row r="229" spans="1:10" x14ac:dyDescent="0.25">
      <c r="A229" t="s">
        <v>70</v>
      </c>
      <c r="B229" t="s">
        <v>71</v>
      </c>
      <c r="C229" t="s">
        <v>24</v>
      </c>
      <c r="D229" t="s">
        <v>25</v>
      </c>
      <c r="J229">
        <f t="shared" si="3"/>
        <v>0</v>
      </c>
    </row>
    <row r="230" spans="1:10" x14ac:dyDescent="0.25">
      <c r="A230" t="s">
        <v>70</v>
      </c>
      <c r="B230" t="s">
        <v>71</v>
      </c>
      <c r="C230" t="s">
        <v>26</v>
      </c>
      <c r="D230" t="s">
        <v>27</v>
      </c>
      <c r="J230">
        <f t="shared" si="3"/>
        <v>0</v>
      </c>
    </row>
    <row r="231" spans="1:10" x14ac:dyDescent="0.25">
      <c r="A231" t="s">
        <v>70</v>
      </c>
      <c r="B231" t="s">
        <v>71</v>
      </c>
      <c r="C231" t="s">
        <v>28</v>
      </c>
      <c r="D231" t="s">
        <v>29</v>
      </c>
      <c r="E231">
        <v>6</v>
      </c>
      <c r="J231">
        <f t="shared" si="3"/>
        <v>6</v>
      </c>
    </row>
    <row r="232" spans="1:10" x14ac:dyDescent="0.25">
      <c r="A232" t="s">
        <v>70</v>
      </c>
      <c r="B232" t="s">
        <v>71</v>
      </c>
      <c r="C232" t="s">
        <v>30</v>
      </c>
      <c r="D232" t="s">
        <v>31</v>
      </c>
      <c r="E232">
        <v>33.2442286168097</v>
      </c>
      <c r="J232">
        <f t="shared" si="3"/>
        <v>33.2442286168097</v>
      </c>
    </row>
    <row r="233" spans="1:10" x14ac:dyDescent="0.25">
      <c r="A233" t="s">
        <v>70</v>
      </c>
      <c r="B233" t="s">
        <v>71</v>
      </c>
      <c r="C233" t="s">
        <v>32</v>
      </c>
      <c r="D233" t="s">
        <v>33</v>
      </c>
      <c r="E233">
        <v>9</v>
      </c>
      <c r="F233">
        <v>9</v>
      </c>
      <c r="G233">
        <v>9</v>
      </c>
      <c r="H233">
        <v>11</v>
      </c>
      <c r="I233">
        <v>11</v>
      </c>
      <c r="J233">
        <f t="shared" si="3"/>
        <v>11</v>
      </c>
    </row>
    <row r="234" spans="1:10" x14ac:dyDescent="0.25">
      <c r="A234" t="s">
        <v>70</v>
      </c>
      <c r="B234" t="s">
        <v>71</v>
      </c>
      <c r="C234" t="s">
        <v>34</v>
      </c>
      <c r="D234" t="s">
        <v>35</v>
      </c>
      <c r="E234">
        <v>56.190475463867202</v>
      </c>
      <c r="F234">
        <v>49.523811340332003</v>
      </c>
      <c r="G234">
        <v>47.619049072265597</v>
      </c>
      <c r="H234">
        <v>31.603773117065401</v>
      </c>
      <c r="I234">
        <v>26.886793136596701</v>
      </c>
      <c r="J234">
        <f t="shared" si="3"/>
        <v>56.190475463867202</v>
      </c>
    </row>
    <row r="235" spans="1:10" x14ac:dyDescent="0.25">
      <c r="A235" t="s">
        <v>70</v>
      </c>
      <c r="B235" t="s">
        <v>71</v>
      </c>
      <c r="C235" t="s">
        <v>36</v>
      </c>
      <c r="D235" t="s">
        <v>37</v>
      </c>
      <c r="E235">
        <v>47.074577773880399</v>
      </c>
      <c r="J235">
        <f t="shared" si="3"/>
        <v>47.074577773880399</v>
      </c>
    </row>
    <row r="236" spans="1:10" x14ac:dyDescent="0.25">
      <c r="A236" t="s">
        <v>70</v>
      </c>
      <c r="B236" t="s">
        <v>71</v>
      </c>
      <c r="C236" t="s">
        <v>38</v>
      </c>
      <c r="D236" t="s">
        <v>39</v>
      </c>
      <c r="E236">
        <v>41.428400070760901</v>
      </c>
      <c r="J236">
        <f t="shared" si="3"/>
        <v>41.428400070760901</v>
      </c>
    </row>
    <row r="237" spans="1:10" x14ac:dyDescent="0.25">
      <c r="A237" t="s">
        <v>70</v>
      </c>
      <c r="B237" t="s">
        <v>71</v>
      </c>
      <c r="C237" t="s">
        <v>40</v>
      </c>
      <c r="D237" t="s">
        <v>41</v>
      </c>
      <c r="E237">
        <v>86.958715999999995</v>
      </c>
      <c r="F237">
        <v>84.607370000000003</v>
      </c>
      <c r="G237">
        <v>84.204141000000007</v>
      </c>
      <c r="H237">
        <v>86.831823999999997</v>
      </c>
      <c r="J237">
        <f t="shared" si="3"/>
        <v>86.958715999999995</v>
      </c>
    </row>
    <row r="238" spans="1:10" x14ac:dyDescent="0.25">
      <c r="A238" t="s">
        <v>70</v>
      </c>
      <c r="B238" t="s">
        <v>71</v>
      </c>
      <c r="C238" t="s">
        <v>42</v>
      </c>
      <c r="D238" t="s">
        <v>43</v>
      </c>
      <c r="J238">
        <f t="shared" si="3"/>
        <v>0</v>
      </c>
    </row>
    <row r="239" spans="1:10" x14ac:dyDescent="0.25">
      <c r="A239" t="s">
        <v>70</v>
      </c>
      <c r="B239" t="s">
        <v>71</v>
      </c>
      <c r="C239" t="s">
        <v>44</v>
      </c>
      <c r="D239" t="s">
        <v>45</v>
      </c>
      <c r="E239">
        <v>8.5</v>
      </c>
      <c r="J239">
        <f t="shared" si="3"/>
        <v>8.5</v>
      </c>
    </row>
    <row r="240" spans="1:10" x14ac:dyDescent="0.25">
      <c r="A240" t="s">
        <v>72</v>
      </c>
      <c r="B240" t="s">
        <v>73</v>
      </c>
      <c r="C240" t="s">
        <v>11</v>
      </c>
      <c r="D240" t="s">
        <v>12</v>
      </c>
      <c r="G240">
        <v>99.01</v>
      </c>
      <c r="J240">
        <f t="shared" si="3"/>
        <v>99.01</v>
      </c>
    </row>
    <row r="241" spans="1:10" x14ac:dyDescent="0.25">
      <c r="A241" t="s">
        <v>72</v>
      </c>
      <c r="B241" t="s">
        <v>73</v>
      </c>
      <c r="C241" t="s">
        <v>14</v>
      </c>
      <c r="D241" t="s">
        <v>15</v>
      </c>
      <c r="G241">
        <v>98.65</v>
      </c>
      <c r="J241">
        <f t="shared" si="3"/>
        <v>98.65</v>
      </c>
    </row>
    <row r="242" spans="1:10" x14ac:dyDescent="0.25">
      <c r="A242" t="s">
        <v>72</v>
      </c>
      <c r="B242" t="s">
        <v>73</v>
      </c>
      <c r="C242" t="s">
        <v>16</v>
      </c>
      <c r="D242" t="s">
        <v>17</v>
      </c>
      <c r="G242">
        <v>99.37</v>
      </c>
      <c r="J242">
        <f t="shared" si="3"/>
        <v>99.37</v>
      </c>
    </row>
    <row r="243" spans="1:10" x14ac:dyDescent="0.25">
      <c r="A243" t="s">
        <v>72</v>
      </c>
      <c r="B243" t="s">
        <v>73</v>
      </c>
      <c r="C243" t="s">
        <v>18</v>
      </c>
      <c r="D243" t="s">
        <v>19</v>
      </c>
      <c r="G243">
        <v>97.94</v>
      </c>
      <c r="J243">
        <f t="shared" si="3"/>
        <v>97.94</v>
      </c>
    </row>
    <row r="244" spans="1:10" x14ac:dyDescent="0.25">
      <c r="A244" t="s">
        <v>72</v>
      </c>
      <c r="B244" t="s">
        <v>73</v>
      </c>
      <c r="C244" t="s">
        <v>20</v>
      </c>
      <c r="D244" t="s">
        <v>21</v>
      </c>
      <c r="G244">
        <v>94.73</v>
      </c>
      <c r="J244">
        <f t="shared" si="3"/>
        <v>94.73</v>
      </c>
    </row>
    <row r="245" spans="1:10" x14ac:dyDescent="0.25">
      <c r="A245" t="s">
        <v>72</v>
      </c>
      <c r="B245" t="s">
        <v>73</v>
      </c>
      <c r="C245" t="s">
        <v>22</v>
      </c>
      <c r="D245" t="s">
        <v>23</v>
      </c>
      <c r="G245">
        <v>93.81</v>
      </c>
      <c r="J245">
        <f t="shared" si="3"/>
        <v>93.81</v>
      </c>
    </row>
    <row r="246" spans="1:10" x14ac:dyDescent="0.25">
      <c r="A246" t="s">
        <v>72</v>
      </c>
      <c r="B246" t="s">
        <v>73</v>
      </c>
      <c r="C246" t="s">
        <v>24</v>
      </c>
      <c r="D246" t="s">
        <v>25</v>
      </c>
      <c r="J246">
        <f t="shared" si="3"/>
        <v>0</v>
      </c>
    </row>
    <row r="247" spans="1:10" x14ac:dyDescent="0.25">
      <c r="A247" t="s">
        <v>72</v>
      </c>
      <c r="B247" t="s">
        <v>73</v>
      </c>
      <c r="C247" t="s">
        <v>26</v>
      </c>
      <c r="D247" t="s">
        <v>27</v>
      </c>
      <c r="F247">
        <v>4.3</v>
      </c>
      <c r="J247">
        <f t="shared" si="3"/>
        <v>4.3</v>
      </c>
    </row>
    <row r="248" spans="1:10" x14ac:dyDescent="0.25">
      <c r="A248" t="s">
        <v>72</v>
      </c>
      <c r="B248" t="s">
        <v>73</v>
      </c>
      <c r="C248" t="s">
        <v>28</v>
      </c>
      <c r="D248" t="s">
        <v>29</v>
      </c>
      <c r="E248">
        <v>8</v>
      </c>
      <c r="J248">
        <f t="shared" si="3"/>
        <v>8</v>
      </c>
    </row>
    <row r="249" spans="1:10" x14ac:dyDescent="0.25">
      <c r="A249" t="s">
        <v>72</v>
      </c>
      <c r="B249" t="s">
        <v>73</v>
      </c>
      <c r="C249" t="s">
        <v>30</v>
      </c>
      <c r="D249" t="s">
        <v>31</v>
      </c>
      <c r="E249">
        <v>103.200888047045</v>
      </c>
      <c r="F249">
        <v>118.442409069939</v>
      </c>
      <c r="G249">
        <v>108.44529721483801</v>
      </c>
      <c r="H249">
        <v>92.482536639240493</v>
      </c>
      <c r="J249">
        <f t="shared" si="3"/>
        <v>118.442409069939</v>
      </c>
    </row>
    <row r="250" spans="1:10" x14ac:dyDescent="0.25">
      <c r="A250" t="s">
        <v>72</v>
      </c>
      <c r="B250" t="s">
        <v>73</v>
      </c>
      <c r="C250" t="s">
        <v>32</v>
      </c>
      <c r="D250" t="s">
        <v>33</v>
      </c>
      <c r="E250">
        <v>12</v>
      </c>
      <c r="F250">
        <v>12</v>
      </c>
      <c r="G250">
        <v>12</v>
      </c>
      <c r="H250">
        <v>12</v>
      </c>
      <c r="I250">
        <v>12</v>
      </c>
      <c r="J250">
        <f t="shared" si="3"/>
        <v>12</v>
      </c>
    </row>
    <row r="251" spans="1:10" x14ac:dyDescent="0.25">
      <c r="A251" t="s">
        <v>72</v>
      </c>
      <c r="B251" t="s">
        <v>73</v>
      </c>
      <c r="C251" t="s">
        <v>34</v>
      </c>
      <c r="D251" t="s">
        <v>35</v>
      </c>
      <c r="E251">
        <v>89.523811340332003</v>
      </c>
      <c r="F251">
        <v>90</v>
      </c>
      <c r="G251">
        <v>89.523811340332003</v>
      </c>
      <c r="H251">
        <v>89.622642517089801</v>
      </c>
      <c r="I251">
        <v>89.150939941406193</v>
      </c>
      <c r="J251">
        <f t="shared" si="3"/>
        <v>90</v>
      </c>
    </row>
    <row r="252" spans="1:10" x14ac:dyDescent="0.25">
      <c r="A252" t="s">
        <v>72</v>
      </c>
      <c r="B252" t="s">
        <v>73</v>
      </c>
      <c r="C252" t="s">
        <v>36</v>
      </c>
      <c r="D252" t="s">
        <v>37</v>
      </c>
      <c r="J252">
        <f t="shared" si="3"/>
        <v>0</v>
      </c>
    </row>
    <row r="253" spans="1:10" x14ac:dyDescent="0.25">
      <c r="A253" t="s">
        <v>72</v>
      </c>
      <c r="B253" t="s">
        <v>73</v>
      </c>
      <c r="C253" t="s">
        <v>38</v>
      </c>
      <c r="D253" t="s">
        <v>39</v>
      </c>
      <c r="J253">
        <f t="shared" si="3"/>
        <v>0</v>
      </c>
    </row>
    <row r="254" spans="1:10" x14ac:dyDescent="0.25">
      <c r="A254" t="s">
        <v>72</v>
      </c>
      <c r="B254" t="s">
        <v>73</v>
      </c>
      <c r="C254" t="s">
        <v>40</v>
      </c>
      <c r="D254" t="s">
        <v>41</v>
      </c>
      <c r="E254">
        <v>92.065814000000003</v>
      </c>
      <c r="F254">
        <v>91.971010000000007</v>
      </c>
      <c r="G254">
        <v>92.223268000000004</v>
      </c>
      <c r="H254">
        <v>92.020131000000006</v>
      </c>
      <c r="J254">
        <f t="shared" si="3"/>
        <v>92.223268000000004</v>
      </c>
    </row>
    <row r="255" spans="1:10" x14ac:dyDescent="0.25">
      <c r="A255" t="s">
        <v>72</v>
      </c>
      <c r="B255" t="s">
        <v>73</v>
      </c>
      <c r="C255" t="s">
        <v>42</v>
      </c>
      <c r="D255" t="s">
        <v>43</v>
      </c>
      <c r="J255">
        <f t="shared" si="3"/>
        <v>0</v>
      </c>
    </row>
    <row r="256" spans="1:10" x14ac:dyDescent="0.25">
      <c r="A256" t="s">
        <v>72</v>
      </c>
      <c r="B256" t="s">
        <v>73</v>
      </c>
      <c r="C256" t="s">
        <v>44</v>
      </c>
      <c r="D256" t="s">
        <v>45</v>
      </c>
      <c r="E256">
        <v>5</v>
      </c>
      <c r="J256">
        <f t="shared" si="3"/>
        <v>5</v>
      </c>
    </row>
    <row r="257" spans="1:10" x14ac:dyDescent="0.25">
      <c r="A257" t="s">
        <v>74</v>
      </c>
      <c r="B257" t="s">
        <v>75</v>
      </c>
      <c r="C257" t="s">
        <v>11</v>
      </c>
      <c r="D257" t="s">
        <v>12</v>
      </c>
      <c r="J257">
        <f t="shared" si="3"/>
        <v>0</v>
      </c>
    </row>
    <row r="258" spans="1:10" x14ac:dyDescent="0.25">
      <c r="A258" t="s">
        <v>74</v>
      </c>
      <c r="B258" t="s">
        <v>75</v>
      </c>
      <c r="C258" t="s">
        <v>14</v>
      </c>
      <c r="D258" t="s">
        <v>15</v>
      </c>
      <c r="J258">
        <f t="shared" si="3"/>
        <v>0</v>
      </c>
    </row>
    <row r="259" spans="1:10" x14ac:dyDescent="0.25">
      <c r="A259" t="s">
        <v>74</v>
      </c>
      <c r="B259" t="s">
        <v>75</v>
      </c>
      <c r="C259" t="s">
        <v>16</v>
      </c>
      <c r="D259" t="s">
        <v>17</v>
      </c>
      <c r="J259">
        <f t="shared" ref="J259:J322" si="4">MAX(E259:I259)</f>
        <v>0</v>
      </c>
    </row>
    <row r="260" spans="1:10" x14ac:dyDescent="0.25">
      <c r="A260" t="s">
        <v>74</v>
      </c>
      <c r="B260" t="s">
        <v>75</v>
      </c>
      <c r="C260" t="s">
        <v>18</v>
      </c>
      <c r="D260" t="s">
        <v>19</v>
      </c>
      <c r="J260">
        <f t="shared" si="4"/>
        <v>0</v>
      </c>
    </row>
    <row r="261" spans="1:10" x14ac:dyDescent="0.25">
      <c r="A261" t="s">
        <v>74</v>
      </c>
      <c r="B261" t="s">
        <v>75</v>
      </c>
      <c r="C261" t="s">
        <v>20</v>
      </c>
      <c r="D261" t="s">
        <v>21</v>
      </c>
      <c r="J261">
        <f t="shared" si="4"/>
        <v>0</v>
      </c>
    </row>
    <row r="262" spans="1:10" x14ac:dyDescent="0.25">
      <c r="A262" t="s">
        <v>74</v>
      </c>
      <c r="B262" t="s">
        <v>75</v>
      </c>
      <c r="C262" t="s">
        <v>22</v>
      </c>
      <c r="D262" t="s">
        <v>23</v>
      </c>
      <c r="J262">
        <f t="shared" si="4"/>
        <v>0</v>
      </c>
    </row>
    <row r="263" spans="1:10" x14ac:dyDescent="0.25">
      <c r="A263" t="s">
        <v>74</v>
      </c>
      <c r="B263" t="s">
        <v>75</v>
      </c>
      <c r="C263" t="s">
        <v>24</v>
      </c>
      <c r="D263" t="s">
        <v>25</v>
      </c>
      <c r="J263">
        <f t="shared" si="4"/>
        <v>0</v>
      </c>
    </row>
    <row r="264" spans="1:10" x14ac:dyDescent="0.25">
      <c r="A264" t="s">
        <v>74</v>
      </c>
      <c r="B264" t="s">
        <v>75</v>
      </c>
      <c r="C264" t="s">
        <v>26</v>
      </c>
      <c r="D264" t="s">
        <v>27</v>
      </c>
      <c r="J264">
        <f t="shared" si="4"/>
        <v>0</v>
      </c>
    </row>
    <row r="265" spans="1:10" x14ac:dyDescent="0.25">
      <c r="A265" t="s">
        <v>74</v>
      </c>
      <c r="B265" t="s">
        <v>75</v>
      </c>
      <c r="C265" t="s">
        <v>28</v>
      </c>
      <c r="D265" t="s">
        <v>29</v>
      </c>
      <c r="J265">
        <f t="shared" si="4"/>
        <v>0</v>
      </c>
    </row>
    <row r="266" spans="1:10" x14ac:dyDescent="0.25">
      <c r="A266" t="s">
        <v>74</v>
      </c>
      <c r="B266" t="s">
        <v>75</v>
      </c>
      <c r="C266" t="s">
        <v>30</v>
      </c>
      <c r="D266" t="s">
        <v>31</v>
      </c>
      <c r="J266">
        <f t="shared" si="4"/>
        <v>0</v>
      </c>
    </row>
    <row r="267" spans="1:10" x14ac:dyDescent="0.25">
      <c r="A267" t="s">
        <v>74</v>
      </c>
      <c r="B267" t="s">
        <v>75</v>
      </c>
      <c r="C267" t="s">
        <v>32</v>
      </c>
      <c r="D267" t="s">
        <v>33</v>
      </c>
      <c r="E267">
        <v>13</v>
      </c>
      <c r="F267">
        <v>13</v>
      </c>
      <c r="G267">
        <v>13</v>
      </c>
      <c r="H267">
        <v>13</v>
      </c>
      <c r="I267">
        <v>13</v>
      </c>
      <c r="J267">
        <f t="shared" si="4"/>
        <v>13</v>
      </c>
    </row>
    <row r="268" spans="1:10" x14ac:dyDescent="0.25">
      <c r="A268" t="s">
        <v>74</v>
      </c>
      <c r="B268" t="s">
        <v>75</v>
      </c>
      <c r="C268" t="s">
        <v>34</v>
      </c>
      <c r="D268" t="s">
        <v>35</v>
      </c>
      <c r="E268">
        <v>87.142860412597699</v>
      </c>
      <c r="F268">
        <v>88.571426391601605</v>
      </c>
      <c r="G268">
        <v>88.571426391601605</v>
      </c>
      <c r="H268">
        <v>88.679244995117202</v>
      </c>
      <c r="I268">
        <v>87.735847473144503</v>
      </c>
      <c r="J268">
        <f t="shared" si="4"/>
        <v>88.679244995117202</v>
      </c>
    </row>
    <row r="269" spans="1:10" x14ac:dyDescent="0.25">
      <c r="A269" t="s">
        <v>74</v>
      </c>
      <c r="B269" t="s">
        <v>75</v>
      </c>
      <c r="C269" t="s">
        <v>36</v>
      </c>
      <c r="D269" t="s">
        <v>37</v>
      </c>
      <c r="J269">
        <f t="shared" si="4"/>
        <v>0</v>
      </c>
    </row>
    <row r="270" spans="1:10" x14ac:dyDescent="0.25">
      <c r="A270" t="s">
        <v>74</v>
      </c>
      <c r="B270" t="s">
        <v>75</v>
      </c>
      <c r="C270" t="s">
        <v>38</v>
      </c>
      <c r="D270" t="s">
        <v>39</v>
      </c>
      <c r="J270">
        <f t="shared" si="4"/>
        <v>0</v>
      </c>
    </row>
    <row r="271" spans="1:10" x14ac:dyDescent="0.25">
      <c r="A271" t="s">
        <v>74</v>
      </c>
      <c r="B271" t="s">
        <v>75</v>
      </c>
      <c r="C271" t="s">
        <v>40</v>
      </c>
      <c r="D271" t="s">
        <v>41</v>
      </c>
      <c r="E271">
        <v>92.661206000000007</v>
      </c>
      <c r="F271">
        <v>92.670182999999994</v>
      </c>
      <c r="G271">
        <v>92.749770999999996</v>
      </c>
      <c r="H271">
        <v>92.818295000000006</v>
      </c>
      <c r="J271">
        <f t="shared" si="4"/>
        <v>92.818295000000006</v>
      </c>
    </row>
    <row r="272" spans="1:10" x14ac:dyDescent="0.25">
      <c r="A272" t="s">
        <v>74</v>
      </c>
      <c r="B272" t="s">
        <v>75</v>
      </c>
      <c r="C272" t="s">
        <v>42</v>
      </c>
      <c r="D272" t="s">
        <v>43</v>
      </c>
      <c r="J272">
        <f t="shared" si="4"/>
        <v>0</v>
      </c>
    </row>
    <row r="273" spans="1:10" x14ac:dyDescent="0.25">
      <c r="A273" t="s">
        <v>74</v>
      </c>
      <c r="B273" t="s">
        <v>75</v>
      </c>
      <c r="C273" t="s">
        <v>44</v>
      </c>
      <c r="D273" t="s">
        <v>45</v>
      </c>
      <c r="J273">
        <f t="shared" si="4"/>
        <v>0</v>
      </c>
    </row>
    <row r="274" spans="1:10" x14ac:dyDescent="0.25">
      <c r="A274" t="s">
        <v>76</v>
      </c>
      <c r="B274" t="s">
        <v>77</v>
      </c>
      <c r="C274" t="s">
        <v>11</v>
      </c>
      <c r="D274" t="s">
        <v>12</v>
      </c>
      <c r="J274">
        <f t="shared" si="4"/>
        <v>0</v>
      </c>
    </row>
    <row r="275" spans="1:10" x14ac:dyDescent="0.25">
      <c r="A275" t="s">
        <v>76</v>
      </c>
      <c r="B275" t="s">
        <v>77</v>
      </c>
      <c r="C275" t="s">
        <v>14</v>
      </c>
      <c r="D275" t="s">
        <v>15</v>
      </c>
      <c r="J275">
        <f t="shared" si="4"/>
        <v>0</v>
      </c>
    </row>
    <row r="276" spans="1:10" x14ac:dyDescent="0.25">
      <c r="A276" t="s">
        <v>76</v>
      </c>
      <c r="B276" t="s">
        <v>77</v>
      </c>
      <c r="C276" t="s">
        <v>16</v>
      </c>
      <c r="D276" t="s">
        <v>17</v>
      </c>
      <c r="J276">
        <f t="shared" si="4"/>
        <v>0</v>
      </c>
    </row>
    <row r="277" spans="1:10" x14ac:dyDescent="0.25">
      <c r="A277" t="s">
        <v>76</v>
      </c>
      <c r="B277" t="s">
        <v>77</v>
      </c>
      <c r="C277" t="s">
        <v>18</v>
      </c>
      <c r="D277" t="s">
        <v>19</v>
      </c>
      <c r="J277">
        <f t="shared" si="4"/>
        <v>0</v>
      </c>
    </row>
    <row r="278" spans="1:10" x14ac:dyDescent="0.25">
      <c r="A278" t="s">
        <v>76</v>
      </c>
      <c r="B278" t="s">
        <v>77</v>
      </c>
      <c r="C278" t="s">
        <v>20</v>
      </c>
      <c r="D278" t="s">
        <v>21</v>
      </c>
      <c r="J278">
        <f t="shared" si="4"/>
        <v>0</v>
      </c>
    </row>
    <row r="279" spans="1:10" x14ac:dyDescent="0.25">
      <c r="A279" t="s">
        <v>76</v>
      </c>
      <c r="B279" t="s">
        <v>77</v>
      </c>
      <c r="C279" t="s">
        <v>22</v>
      </c>
      <c r="D279" t="s">
        <v>23</v>
      </c>
      <c r="J279">
        <f t="shared" si="4"/>
        <v>0</v>
      </c>
    </row>
    <row r="280" spans="1:10" x14ac:dyDescent="0.25">
      <c r="A280" t="s">
        <v>76</v>
      </c>
      <c r="B280" t="s">
        <v>77</v>
      </c>
      <c r="C280" t="s">
        <v>24</v>
      </c>
      <c r="D280" t="s">
        <v>25</v>
      </c>
      <c r="J280">
        <f t="shared" si="4"/>
        <v>0</v>
      </c>
    </row>
    <row r="281" spans="1:10" x14ac:dyDescent="0.25">
      <c r="A281" t="s">
        <v>76</v>
      </c>
      <c r="B281" t="s">
        <v>77</v>
      </c>
      <c r="C281" t="s">
        <v>26</v>
      </c>
      <c r="D281" t="s">
        <v>27</v>
      </c>
      <c r="J281">
        <f t="shared" si="4"/>
        <v>0</v>
      </c>
    </row>
    <row r="282" spans="1:10" x14ac:dyDescent="0.25">
      <c r="A282" t="s">
        <v>76</v>
      </c>
      <c r="B282" t="s">
        <v>77</v>
      </c>
      <c r="C282" t="s">
        <v>28</v>
      </c>
      <c r="D282" t="s">
        <v>29</v>
      </c>
      <c r="E282">
        <v>4</v>
      </c>
      <c r="J282">
        <f t="shared" si="4"/>
        <v>4</v>
      </c>
    </row>
    <row r="283" spans="1:10" x14ac:dyDescent="0.25">
      <c r="A283" t="s">
        <v>76</v>
      </c>
      <c r="B283" t="s">
        <v>77</v>
      </c>
      <c r="C283" t="s">
        <v>30</v>
      </c>
      <c r="D283" t="s">
        <v>31</v>
      </c>
      <c r="E283">
        <v>90.357352573338005</v>
      </c>
      <c r="F283">
        <v>111.007884088239</v>
      </c>
      <c r="J283">
        <f t="shared" si="4"/>
        <v>111.007884088239</v>
      </c>
    </row>
    <row r="284" spans="1:10" x14ac:dyDescent="0.25">
      <c r="A284" t="s">
        <v>76</v>
      </c>
      <c r="B284" t="s">
        <v>77</v>
      </c>
      <c r="C284" t="s">
        <v>32</v>
      </c>
      <c r="D284" t="s">
        <v>33</v>
      </c>
      <c r="J284">
        <f t="shared" si="4"/>
        <v>0</v>
      </c>
    </row>
    <row r="285" spans="1:10" x14ac:dyDescent="0.25">
      <c r="A285" t="s">
        <v>76</v>
      </c>
      <c r="B285" t="s">
        <v>77</v>
      </c>
      <c r="C285" t="s">
        <v>34</v>
      </c>
      <c r="D285" t="s">
        <v>35</v>
      </c>
      <c r="E285">
        <v>91.428573608398395</v>
      </c>
      <c r="F285">
        <v>93.333335876464801</v>
      </c>
      <c r="G285">
        <v>90.476188659667997</v>
      </c>
      <c r="H285">
        <v>90.094337463378906</v>
      </c>
      <c r="I285">
        <v>91.037734985351605</v>
      </c>
      <c r="J285">
        <f t="shared" si="4"/>
        <v>93.333335876464801</v>
      </c>
    </row>
    <row r="286" spans="1:10" x14ac:dyDescent="0.25">
      <c r="A286" t="s">
        <v>76</v>
      </c>
      <c r="B286" t="s">
        <v>77</v>
      </c>
      <c r="C286" t="s">
        <v>36</v>
      </c>
      <c r="D286" t="s">
        <v>37</v>
      </c>
      <c r="J286">
        <f t="shared" si="4"/>
        <v>0</v>
      </c>
    </row>
    <row r="287" spans="1:10" x14ac:dyDescent="0.25">
      <c r="A287" t="s">
        <v>76</v>
      </c>
      <c r="B287" t="s">
        <v>77</v>
      </c>
      <c r="C287" t="s">
        <v>38</v>
      </c>
      <c r="D287" t="s">
        <v>39</v>
      </c>
      <c r="J287">
        <f t="shared" si="4"/>
        <v>0</v>
      </c>
    </row>
    <row r="288" spans="1:10" x14ac:dyDescent="0.25">
      <c r="A288" t="s">
        <v>76</v>
      </c>
      <c r="B288" t="s">
        <v>77</v>
      </c>
      <c r="C288" t="s">
        <v>40</v>
      </c>
      <c r="D288" t="s">
        <v>41</v>
      </c>
      <c r="E288">
        <v>81.314898999999997</v>
      </c>
      <c r="F288">
        <v>81.797748999999996</v>
      </c>
      <c r="G288">
        <v>82.106566999999998</v>
      </c>
      <c r="H288">
        <v>82.661171999999993</v>
      </c>
      <c r="J288">
        <f t="shared" si="4"/>
        <v>82.661171999999993</v>
      </c>
    </row>
    <row r="289" spans="1:10" x14ac:dyDescent="0.25">
      <c r="A289" t="s">
        <v>76</v>
      </c>
      <c r="B289" t="s">
        <v>77</v>
      </c>
      <c r="C289" t="s">
        <v>42</v>
      </c>
      <c r="D289" t="s">
        <v>43</v>
      </c>
      <c r="J289">
        <f t="shared" si="4"/>
        <v>0</v>
      </c>
    </row>
    <row r="290" spans="1:10" x14ac:dyDescent="0.25">
      <c r="A290" t="s">
        <v>76</v>
      </c>
      <c r="B290" t="s">
        <v>77</v>
      </c>
      <c r="C290" t="s">
        <v>44</v>
      </c>
      <c r="D290" t="s">
        <v>45</v>
      </c>
      <c r="E290">
        <v>12</v>
      </c>
      <c r="J290">
        <f t="shared" si="4"/>
        <v>12</v>
      </c>
    </row>
    <row r="291" spans="1:10" x14ac:dyDescent="0.25">
      <c r="A291" t="s">
        <v>78</v>
      </c>
      <c r="B291" t="s">
        <v>79</v>
      </c>
      <c r="C291" t="s">
        <v>11</v>
      </c>
      <c r="D291" t="s">
        <v>12</v>
      </c>
      <c r="G291">
        <v>68.89</v>
      </c>
      <c r="J291">
        <f t="shared" si="4"/>
        <v>68.89</v>
      </c>
    </row>
    <row r="292" spans="1:10" x14ac:dyDescent="0.25">
      <c r="A292" t="s">
        <v>78</v>
      </c>
      <c r="B292" t="s">
        <v>79</v>
      </c>
      <c r="C292" t="s">
        <v>14</v>
      </c>
      <c r="D292" t="s">
        <v>15</v>
      </c>
      <c r="G292">
        <v>63.29</v>
      </c>
      <c r="J292">
        <f t="shared" si="4"/>
        <v>63.29</v>
      </c>
    </row>
    <row r="293" spans="1:10" x14ac:dyDescent="0.25">
      <c r="A293" t="s">
        <v>78</v>
      </c>
      <c r="B293" t="s">
        <v>79</v>
      </c>
      <c r="C293" t="s">
        <v>16</v>
      </c>
      <c r="D293" t="s">
        <v>17</v>
      </c>
      <c r="G293">
        <v>74.040000000000006</v>
      </c>
      <c r="J293">
        <f t="shared" si="4"/>
        <v>74.040000000000006</v>
      </c>
    </row>
    <row r="294" spans="1:10" x14ac:dyDescent="0.25">
      <c r="A294" t="s">
        <v>78</v>
      </c>
      <c r="B294" t="s">
        <v>79</v>
      </c>
      <c r="C294" t="s">
        <v>18</v>
      </c>
      <c r="D294" t="s">
        <v>19</v>
      </c>
      <c r="G294">
        <v>56.29</v>
      </c>
      <c r="J294">
        <f t="shared" si="4"/>
        <v>56.29</v>
      </c>
    </row>
    <row r="295" spans="1:10" x14ac:dyDescent="0.25">
      <c r="A295" t="s">
        <v>78</v>
      </c>
      <c r="B295" t="s">
        <v>79</v>
      </c>
      <c r="C295" t="s">
        <v>20</v>
      </c>
      <c r="D295" t="s">
        <v>21</v>
      </c>
      <c r="G295">
        <v>66.36</v>
      </c>
      <c r="J295">
        <f t="shared" si="4"/>
        <v>66.36</v>
      </c>
    </row>
    <row r="296" spans="1:10" x14ac:dyDescent="0.25">
      <c r="A296" t="s">
        <v>78</v>
      </c>
      <c r="B296" t="s">
        <v>79</v>
      </c>
      <c r="C296" t="s">
        <v>22</v>
      </c>
      <c r="D296" t="s">
        <v>23</v>
      </c>
      <c r="G296">
        <v>55.39</v>
      </c>
      <c r="J296">
        <f t="shared" si="4"/>
        <v>55.39</v>
      </c>
    </row>
    <row r="297" spans="1:10" x14ac:dyDescent="0.25">
      <c r="A297" t="s">
        <v>78</v>
      </c>
      <c r="B297" t="s">
        <v>79</v>
      </c>
      <c r="C297" t="s">
        <v>24</v>
      </c>
      <c r="D297" t="s">
        <v>25</v>
      </c>
      <c r="J297">
        <f t="shared" si="4"/>
        <v>0</v>
      </c>
    </row>
    <row r="298" spans="1:10" x14ac:dyDescent="0.25">
      <c r="A298" t="s">
        <v>78</v>
      </c>
      <c r="B298" t="s">
        <v>79</v>
      </c>
      <c r="C298" t="s">
        <v>26</v>
      </c>
      <c r="D298" t="s">
        <v>27</v>
      </c>
      <c r="J298">
        <f t="shared" si="4"/>
        <v>0</v>
      </c>
    </row>
    <row r="299" spans="1:10" x14ac:dyDescent="0.25">
      <c r="A299" t="s">
        <v>78</v>
      </c>
      <c r="B299" t="s">
        <v>79</v>
      </c>
      <c r="C299" t="s">
        <v>28</v>
      </c>
      <c r="D299" t="s">
        <v>29</v>
      </c>
      <c r="E299">
        <v>1</v>
      </c>
      <c r="J299">
        <f t="shared" si="4"/>
        <v>1</v>
      </c>
    </row>
    <row r="300" spans="1:10" x14ac:dyDescent="0.25">
      <c r="A300" t="s">
        <v>78</v>
      </c>
      <c r="B300" t="s">
        <v>79</v>
      </c>
      <c r="C300" t="s">
        <v>30</v>
      </c>
      <c r="D300" t="s">
        <v>31</v>
      </c>
      <c r="J300">
        <f t="shared" si="4"/>
        <v>0</v>
      </c>
    </row>
    <row r="301" spans="1:10" x14ac:dyDescent="0.25">
      <c r="A301" t="s">
        <v>78</v>
      </c>
      <c r="B301" t="s">
        <v>79</v>
      </c>
      <c r="C301" t="s">
        <v>32</v>
      </c>
      <c r="D301" t="s">
        <v>33</v>
      </c>
      <c r="E301">
        <v>14</v>
      </c>
      <c r="F301">
        <v>14</v>
      </c>
      <c r="G301">
        <v>14</v>
      </c>
      <c r="H301">
        <v>14</v>
      </c>
      <c r="I301">
        <v>14</v>
      </c>
      <c r="J301">
        <f t="shared" si="4"/>
        <v>14</v>
      </c>
    </row>
    <row r="302" spans="1:10" x14ac:dyDescent="0.25">
      <c r="A302" t="s">
        <v>78</v>
      </c>
      <c r="B302" t="s">
        <v>79</v>
      </c>
      <c r="C302" t="s">
        <v>34</v>
      </c>
      <c r="D302" t="s">
        <v>35</v>
      </c>
      <c r="E302">
        <v>25.7142848968506</v>
      </c>
      <c r="F302">
        <v>22.380952835083001</v>
      </c>
      <c r="G302">
        <v>20.476190567016602</v>
      </c>
      <c r="H302">
        <v>20.754716873168899</v>
      </c>
      <c r="I302">
        <v>21.698112487793001</v>
      </c>
      <c r="J302">
        <f t="shared" si="4"/>
        <v>25.7142848968506</v>
      </c>
    </row>
    <row r="303" spans="1:10" x14ac:dyDescent="0.25">
      <c r="A303" t="s">
        <v>78</v>
      </c>
      <c r="B303" t="s">
        <v>79</v>
      </c>
      <c r="C303" t="s">
        <v>36</v>
      </c>
      <c r="D303" t="s">
        <v>37</v>
      </c>
      <c r="E303">
        <v>77.215042832551404</v>
      </c>
      <c r="F303">
        <v>97.854020740754905</v>
      </c>
      <c r="J303">
        <f t="shared" si="4"/>
        <v>97.854020740754905</v>
      </c>
    </row>
    <row r="304" spans="1:10" x14ac:dyDescent="0.25">
      <c r="A304" t="s">
        <v>78</v>
      </c>
      <c r="B304" t="s">
        <v>79</v>
      </c>
      <c r="C304" t="s">
        <v>38</v>
      </c>
      <c r="D304" t="s">
        <v>39</v>
      </c>
      <c r="E304">
        <v>1.1835016724816201</v>
      </c>
      <c r="F304">
        <v>0.74662058309344503</v>
      </c>
      <c r="J304">
        <f t="shared" si="4"/>
        <v>1.1835016724816201</v>
      </c>
    </row>
    <row r="305" spans="1:10" x14ac:dyDescent="0.25">
      <c r="A305" t="s">
        <v>78</v>
      </c>
      <c r="B305" t="s">
        <v>79</v>
      </c>
      <c r="C305" t="s">
        <v>40</v>
      </c>
      <c r="D305" t="s">
        <v>41</v>
      </c>
      <c r="E305">
        <v>73.855091999999999</v>
      </c>
      <c r="F305">
        <v>66.676950000000005</v>
      </c>
      <c r="G305">
        <v>61.089826000000002</v>
      </c>
      <c r="H305">
        <v>73.334968000000003</v>
      </c>
      <c r="J305">
        <f t="shared" si="4"/>
        <v>73.855091999999999</v>
      </c>
    </row>
    <row r="306" spans="1:10" x14ac:dyDescent="0.25">
      <c r="A306" t="s">
        <v>78</v>
      </c>
      <c r="B306" t="s">
        <v>79</v>
      </c>
      <c r="C306" t="s">
        <v>42</v>
      </c>
      <c r="D306" t="s">
        <v>43</v>
      </c>
      <c r="J306">
        <f t="shared" si="4"/>
        <v>0</v>
      </c>
    </row>
    <row r="307" spans="1:10" x14ac:dyDescent="0.25">
      <c r="A307" t="s">
        <v>78</v>
      </c>
      <c r="B307" t="s">
        <v>79</v>
      </c>
      <c r="C307" t="s">
        <v>44</v>
      </c>
      <c r="D307" t="s">
        <v>45</v>
      </c>
      <c r="E307">
        <v>39.5</v>
      </c>
      <c r="J307">
        <f t="shared" si="4"/>
        <v>39.5</v>
      </c>
    </row>
    <row r="308" spans="1:10" x14ac:dyDescent="0.25">
      <c r="A308" t="s">
        <v>80</v>
      </c>
      <c r="B308" t="s">
        <v>81</v>
      </c>
      <c r="C308" t="s">
        <v>11</v>
      </c>
      <c r="D308" t="s">
        <v>12</v>
      </c>
      <c r="G308">
        <v>79.34</v>
      </c>
      <c r="J308">
        <f t="shared" si="4"/>
        <v>79.34</v>
      </c>
    </row>
    <row r="309" spans="1:10" x14ac:dyDescent="0.25">
      <c r="A309" t="s">
        <v>80</v>
      </c>
      <c r="B309" t="s">
        <v>81</v>
      </c>
      <c r="C309" t="s">
        <v>14</v>
      </c>
      <c r="D309" t="s">
        <v>15</v>
      </c>
      <c r="G309">
        <v>70.37</v>
      </c>
      <c r="J309">
        <f t="shared" si="4"/>
        <v>70.37</v>
      </c>
    </row>
    <row r="310" spans="1:10" x14ac:dyDescent="0.25">
      <c r="A310" t="s">
        <v>80</v>
      </c>
      <c r="B310" t="s">
        <v>81</v>
      </c>
      <c r="C310" t="s">
        <v>16</v>
      </c>
      <c r="D310" t="s">
        <v>17</v>
      </c>
      <c r="G310">
        <v>88.71</v>
      </c>
      <c r="J310">
        <f t="shared" si="4"/>
        <v>88.71</v>
      </c>
    </row>
    <row r="311" spans="1:10" x14ac:dyDescent="0.25">
      <c r="A311" t="s">
        <v>80</v>
      </c>
      <c r="B311" t="s">
        <v>81</v>
      </c>
      <c r="C311" t="s">
        <v>18</v>
      </c>
      <c r="D311" t="s">
        <v>19</v>
      </c>
      <c r="G311">
        <v>72.290000000000006</v>
      </c>
      <c r="J311">
        <f t="shared" si="4"/>
        <v>72.290000000000006</v>
      </c>
    </row>
    <row r="312" spans="1:10" x14ac:dyDescent="0.25">
      <c r="A312" t="s">
        <v>80</v>
      </c>
      <c r="B312" t="s">
        <v>81</v>
      </c>
      <c r="C312" t="s">
        <v>20</v>
      </c>
      <c r="D312" t="s">
        <v>21</v>
      </c>
      <c r="G312">
        <v>61.03</v>
      </c>
      <c r="J312">
        <f t="shared" si="4"/>
        <v>61.03</v>
      </c>
    </row>
    <row r="313" spans="1:10" x14ac:dyDescent="0.25">
      <c r="A313" t="s">
        <v>80</v>
      </c>
      <c r="B313" t="s">
        <v>81</v>
      </c>
      <c r="C313" t="s">
        <v>22</v>
      </c>
      <c r="D313" t="s">
        <v>23</v>
      </c>
      <c r="G313">
        <v>57.58</v>
      </c>
      <c r="J313">
        <f t="shared" si="4"/>
        <v>57.58</v>
      </c>
    </row>
    <row r="314" spans="1:10" x14ac:dyDescent="0.25">
      <c r="A314" t="s">
        <v>80</v>
      </c>
      <c r="B314" t="s">
        <v>81</v>
      </c>
      <c r="C314" t="s">
        <v>24</v>
      </c>
      <c r="D314" t="s">
        <v>25</v>
      </c>
      <c r="J314">
        <f t="shared" si="4"/>
        <v>0</v>
      </c>
    </row>
    <row r="315" spans="1:10" x14ac:dyDescent="0.25">
      <c r="A315" t="s">
        <v>80</v>
      </c>
      <c r="B315" t="s">
        <v>81</v>
      </c>
      <c r="C315" t="s">
        <v>26</v>
      </c>
      <c r="D315" t="s">
        <v>27</v>
      </c>
      <c r="E315">
        <v>16</v>
      </c>
      <c r="I315">
        <v>3.5</v>
      </c>
      <c r="J315">
        <f t="shared" si="4"/>
        <v>16</v>
      </c>
    </row>
    <row r="316" spans="1:10" x14ac:dyDescent="0.25">
      <c r="A316" t="s">
        <v>80</v>
      </c>
      <c r="B316" t="s">
        <v>81</v>
      </c>
      <c r="C316" t="s">
        <v>28</v>
      </c>
      <c r="D316" t="s">
        <v>29</v>
      </c>
      <c r="E316">
        <v>3</v>
      </c>
      <c r="J316">
        <f t="shared" si="4"/>
        <v>3</v>
      </c>
    </row>
    <row r="317" spans="1:10" x14ac:dyDescent="0.25">
      <c r="A317" t="s">
        <v>80</v>
      </c>
      <c r="B317" t="s">
        <v>81</v>
      </c>
      <c r="C317" t="s">
        <v>30</v>
      </c>
      <c r="D317" t="s">
        <v>31</v>
      </c>
      <c r="E317">
        <v>44.023571918688098</v>
      </c>
      <c r="F317">
        <v>45.421636844736703</v>
      </c>
      <c r="G317">
        <v>46.974819137829897</v>
      </c>
      <c r="H317">
        <v>41.743510519896098</v>
      </c>
      <c r="I317">
        <v>40.423774612512801</v>
      </c>
      <c r="J317">
        <f t="shared" si="4"/>
        <v>46.974819137829897</v>
      </c>
    </row>
    <row r="318" spans="1:10" x14ac:dyDescent="0.25">
      <c r="A318" t="s">
        <v>80</v>
      </c>
      <c r="B318" t="s">
        <v>81</v>
      </c>
      <c r="C318" t="s">
        <v>32</v>
      </c>
      <c r="D318" t="s">
        <v>33</v>
      </c>
      <c r="E318">
        <v>9</v>
      </c>
      <c r="F318">
        <v>9</v>
      </c>
      <c r="G318">
        <v>9</v>
      </c>
      <c r="H318">
        <v>9</v>
      </c>
      <c r="I318">
        <v>9</v>
      </c>
      <c r="J318">
        <f t="shared" si="4"/>
        <v>9</v>
      </c>
    </row>
    <row r="319" spans="1:10" x14ac:dyDescent="0.25">
      <c r="A319" t="s">
        <v>80</v>
      </c>
      <c r="B319" t="s">
        <v>81</v>
      </c>
      <c r="C319" t="s">
        <v>34</v>
      </c>
      <c r="D319" t="s">
        <v>35</v>
      </c>
      <c r="E319">
        <v>29.523809432983398</v>
      </c>
      <c r="F319">
        <v>28.571428298950199</v>
      </c>
      <c r="G319">
        <v>28.095237731933601</v>
      </c>
      <c r="H319">
        <v>26.415094375610401</v>
      </c>
      <c r="I319">
        <v>30.660377502441399</v>
      </c>
      <c r="J319">
        <f t="shared" si="4"/>
        <v>30.660377502441399</v>
      </c>
    </row>
    <row r="320" spans="1:10" x14ac:dyDescent="0.25">
      <c r="A320" t="s">
        <v>80</v>
      </c>
      <c r="B320" t="s">
        <v>81</v>
      </c>
      <c r="C320" t="s">
        <v>36</v>
      </c>
      <c r="D320" t="s">
        <v>37</v>
      </c>
      <c r="J320">
        <f t="shared" si="4"/>
        <v>0</v>
      </c>
    </row>
    <row r="321" spans="1:10" x14ac:dyDescent="0.25">
      <c r="A321" t="s">
        <v>80</v>
      </c>
      <c r="B321" t="s">
        <v>81</v>
      </c>
      <c r="C321" t="s">
        <v>38</v>
      </c>
      <c r="D321" t="s">
        <v>39</v>
      </c>
      <c r="J321">
        <f t="shared" si="4"/>
        <v>0</v>
      </c>
    </row>
    <row r="322" spans="1:10" x14ac:dyDescent="0.25">
      <c r="A322" t="s">
        <v>80</v>
      </c>
      <c r="B322" t="s">
        <v>81</v>
      </c>
      <c r="C322" t="s">
        <v>40</v>
      </c>
      <c r="D322" t="s">
        <v>41</v>
      </c>
      <c r="E322">
        <v>89.015321999999998</v>
      </c>
      <c r="F322">
        <v>88.083200000000005</v>
      </c>
      <c r="G322">
        <v>86.680497000000003</v>
      </c>
      <c r="H322">
        <v>88.203537999999995</v>
      </c>
      <c r="J322">
        <f t="shared" si="4"/>
        <v>89.015321999999998</v>
      </c>
    </row>
    <row r="323" spans="1:10" x14ac:dyDescent="0.25">
      <c r="A323" t="s">
        <v>80</v>
      </c>
      <c r="B323" t="s">
        <v>81</v>
      </c>
      <c r="C323" t="s">
        <v>42</v>
      </c>
      <c r="D323" t="s">
        <v>43</v>
      </c>
      <c r="J323">
        <f t="shared" ref="J323:J386" si="5">MAX(E323:I323)</f>
        <v>0</v>
      </c>
    </row>
    <row r="324" spans="1:10" x14ac:dyDescent="0.25">
      <c r="A324" t="s">
        <v>80</v>
      </c>
      <c r="B324" t="s">
        <v>81</v>
      </c>
      <c r="C324" t="s">
        <v>44</v>
      </c>
      <c r="D324" t="s">
        <v>45</v>
      </c>
      <c r="E324">
        <v>80</v>
      </c>
      <c r="J324">
        <f t="shared" si="5"/>
        <v>80</v>
      </c>
    </row>
    <row r="325" spans="1:10" x14ac:dyDescent="0.25">
      <c r="A325" t="s">
        <v>82</v>
      </c>
      <c r="B325" t="s">
        <v>83</v>
      </c>
      <c r="C325" t="s">
        <v>11</v>
      </c>
      <c r="D325" t="s">
        <v>12</v>
      </c>
      <c r="H325">
        <v>58.76</v>
      </c>
      <c r="J325">
        <f t="shared" si="5"/>
        <v>58.76</v>
      </c>
    </row>
    <row r="326" spans="1:10" x14ac:dyDescent="0.25">
      <c r="A326" t="s">
        <v>82</v>
      </c>
      <c r="B326" t="s">
        <v>83</v>
      </c>
      <c r="C326" t="s">
        <v>14</v>
      </c>
      <c r="D326" t="s">
        <v>15</v>
      </c>
      <c r="H326">
        <v>53.86</v>
      </c>
      <c r="J326">
        <f t="shared" si="5"/>
        <v>53.86</v>
      </c>
    </row>
    <row r="327" spans="1:10" x14ac:dyDescent="0.25">
      <c r="A327" t="s">
        <v>82</v>
      </c>
      <c r="B327" t="s">
        <v>83</v>
      </c>
      <c r="C327" t="s">
        <v>16</v>
      </c>
      <c r="D327" t="s">
        <v>17</v>
      </c>
      <c r="H327">
        <v>64.290000000000006</v>
      </c>
      <c r="J327">
        <f t="shared" si="5"/>
        <v>64.290000000000006</v>
      </c>
    </row>
    <row r="328" spans="1:10" x14ac:dyDescent="0.25">
      <c r="A328" t="s">
        <v>82</v>
      </c>
      <c r="B328" t="s">
        <v>83</v>
      </c>
      <c r="C328" t="s">
        <v>18</v>
      </c>
      <c r="D328" t="s">
        <v>19</v>
      </c>
      <c r="H328">
        <v>47.59</v>
      </c>
      <c r="J328">
        <f t="shared" si="5"/>
        <v>47.59</v>
      </c>
    </row>
    <row r="329" spans="1:10" x14ac:dyDescent="0.25">
      <c r="A329" t="s">
        <v>82</v>
      </c>
      <c r="B329" t="s">
        <v>83</v>
      </c>
      <c r="C329" t="s">
        <v>20</v>
      </c>
      <c r="D329" t="s">
        <v>21</v>
      </c>
      <c r="H329">
        <v>49.72</v>
      </c>
      <c r="J329">
        <f t="shared" si="5"/>
        <v>49.72</v>
      </c>
    </row>
    <row r="330" spans="1:10" x14ac:dyDescent="0.25">
      <c r="A330" t="s">
        <v>82</v>
      </c>
      <c r="B330" t="s">
        <v>83</v>
      </c>
      <c r="C330" t="s">
        <v>22</v>
      </c>
      <c r="D330" t="s">
        <v>23</v>
      </c>
      <c r="H330">
        <v>43.8</v>
      </c>
      <c r="J330">
        <f t="shared" si="5"/>
        <v>43.8</v>
      </c>
    </row>
    <row r="331" spans="1:10" x14ac:dyDescent="0.25">
      <c r="A331" t="s">
        <v>82</v>
      </c>
      <c r="B331" t="s">
        <v>83</v>
      </c>
      <c r="C331" t="s">
        <v>24</v>
      </c>
      <c r="D331" t="s">
        <v>25</v>
      </c>
      <c r="J331">
        <f t="shared" si="5"/>
        <v>0</v>
      </c>
    </row>
    <row r="332" spans="1:10" x14ac:dyDescent="0.25">
      <c r="A332" t="s">
        <v>82</v>
      </c>
      <c r="B332" t="s">
        <v>83</v>
      </c>
      <c r="C332" t="s">
        <v>26</v>
      </c>
      <c r="D332" t="s">
        <v>27</v>
      </c>
      <c r="I332">
        <v>6.1</v>
      </c>
      <c r="J332">
        <f t="shared" si="5"/>
        <v>6.1</v>
      </c>
    </row>
    <row r="333" spans="1:10" x14ac:dyDescent="0.25">
      <c r="A333" t="s">
        <v>82</v>
      </c>
      <c r="B333" t="s">
        <v>83</v>
      </c>
      <c r="C333" t="s">
        <v>28</v>
      </c>
      <c r="D333" t="s">
        <v>29</v>
      </c>
      <c r="E333">
        <v>7</v>
      </c>
      <c r="J333">
        <f t="shared" si="5"/>
        <v>7</v>
      </c>
    </row>
    <row r="334" spans="1:10" x14ac:dyDescent="0.25">
      <c r="A334" t="s">
        <v>82</v>
      </c>
      <c r="B334" t="s">
        <v>83</v>
      </c>
      <c r="C334" t="s">
        <v>30</v>
      </c>
      <c r="D334" t="s">
        <v>31</v>
      </c>
      <c r="E334">
        <v>16.193904309718</v>
      </c>
      <c r="F334">
        <v>19.6160814562101</v>
      </c>
      <c r="J334">
        <f t="shared" si="5"/>
        <v>19.6160814562101</v>
      </c>
    </row>
    <row r="335" spans="1:10" x14ac:dyDescent="0.25">
      <c r="A335" t="s">
        <v>82</v>
      </c>
      <c r="B335" t="s">
        <v>83</v>
      </c>
      <c r="C335" t="s">
        <v>32</v>
      </c>
      <c r="D335" t="s">
        <v>33</v>
      </c>
      <c r="J335">
        <f t="shared" si="5"/>
        <v>0</v>
      </c>
    </row>
    <row r="336" spans="1:10" x14ac:dyDescent="0.25">
      <c r="A336" t="s">
        <v>82</v>
      </c>
      <c r="B336" t="s">
        <v>83</v>
      </c>
      <c r="C336" t="s">
        <v>34</v>
      </c>
      <c r="D336" t="s">
        <v>35</v>
      </c>
      <c r="E336">
        <v>74.285713195800795</v>
      </c>
      <c r="F336">
        <v>71.428573608398395</v>
      </c>
      <c r="G336">
        <v>74.761901855468807</v>
      </c>
      <c r="H336">
        <v>74.056602478027301</v>
      </c>
      <c r="I336">
        <v>73.584907531738295</v>
      </c>
      <c r="J336">
        <f t="shared" si="5"/>
        <v>74.761901855468807</v>
      </c>
    </row>
    <row r="337" spans="1:10" x14ac:dyDescent="0.25">
      <c r="A337" t="s">
        <v>82</v>
      </c>
      <c r="B337" t="s">
        <v>83</v>
      </c>
      <c r="C337" t="s">
        <v>36</v>
      </c>
      <c r="D337" t="s">
        <v>37</v>
      </c>
      <c r="J337">
        <f t="shared" si="5"/>
        <v>0</v>
      </c>
    </row>
    <row r="338" spans="1:10" x14ac:dyDescent="0.25">
      <c r="A338" t="s">
        <v>82</v>
      </c>
      <c r="B338" t="s">
        <v>83</v>
      </c>
      <c r="C338" t="s">
        <v>38</v>
      </c>
      <c r="D338" t="s">
        <v>39</v>
      </c>
      <c r="J338">
        <f t="shared" si="5"/>
        <v>0</v>
      </c>
    </row>
    <row r="339" spans="1:10" x14ac:dyDescent="0.25">
      <c r="A339" t="s">
        <v>82</v>
      </c>
      <c r="B339" t="s">
        <v>83</v>
      </c>
      <c r="C339" t="s">
        <v>40</v>
      </c>
      <c r="D339" t="s">
        <v>41</v>
      </c>
      <c r="E339">
        <v>70.681901999999994</v>
      </c>
      <c r="F339">
        <v>72.101001999999994</v>
      </c>
      <c r="G339">
        <v>61.837403000000002</v>
      </c>
      <c r="H339">
        <v>74.133132000000003</v>
      </c>
      <c r="J339">
        <f t="shared" si="5"/>
        <v>74.133132000000003</v>
      </c>
    </row>
    <row r="340" spans="1:10" x14ac:dyDescent="0.25">
      <c r="A340" t="s">
        <v>82</v>
      </c>
      <c r="B340" t="s">
        <v>83</v>
      </c>
      <c r="C340" t="s">
        <v>42</v>
      </c>
      <c r="D340" t="s">
        <v>43</v>
      </c>
      <c r="J340">
        <f t="shared" si="5"/>
        <v>0</v>
      </c>
    </row>
    <row r="341" spans="1:10" x14ac:dyDescent="0.25">
      <c r="A341" t="s">
        <v>82</v>
      </c>
      <c r="B341" t="s">
        <v>83</v>
      </c>
      <c r="C341" t="s">
        <v>44</v>
      </c>
      <c r="D341" t="s">
        <v>45</v>
      </c>
      <c r="E341">
        <v>48</v>
      </c>
      <c r="J341">
        <f t="shared" si="5"/>
        <v>48</v>
      </c>
    </row>
    <row r="342" spans="1:10" x14ac:dyDescent="0.25">
      <c r="A342" t="s">
        <v>84</v>
      </c>
      <c r="B342" t="s">
        <v>85</v>
      </c>
      <c r="C342" t="s">
        <v>11</v>
      </c>
      <c r="D342" t="s">
        <v>12</v>
      </c>
      <c r="G342">
        <v>84.04</v>
      </c>
      <c r="J342">
        <f t="shared" si="5"/>
        <v>84.04</v>
      </c>
    </row>
    <row r="343" spans="1:10" x14ac:dyDescent="0.25">
      <c r="A343" t="s">
        <v>84</v>
      </c>
      <c r="B343" t="s">
        <v>85</v>
      </c>
      <c r="C343" t="s">
        <v>14</v>
      </c>
      <c r="D343" t="s">
        <v>15</v>
      </c>
      <c r="G343">
        <v>80.87</v>
      </c>
      <c r="J343">
        <f t="shared" si="5"/>
        <v>80.87</v>
      </c>
    </row>
    <row r="344" spans="1:10" x14ac:dyDescent="0.25">
      <c r="A344" t="s">
        <v>84</v>
      </c>
      <c r="B344" t="s">
        <v>85</v>
      </c>
      <c r="C344" t="s">
        <v>16</v>
      </c>
      <c r="D344" t="s">
        <v>17</v>
      </c>
      <c r="G344">
        <v>87.05</v>
      </c>
      <c r="J344">
        <f t="shared" si="5"/>
        <v>87.05</v>
      </c>
    </row>
    <row r="345" spans="1:10" x14ac:dyDescent="0.25">
      <c r="A345" t="s">
        <v>84</v>
      </c>
      <c r="B345" t="s">
        <v>85</v>
      </c>
      <c r="C345" t="s">
        <v>18</v>
      </c>
      <c r="D345" t="s">
        <v>19</v>
      </c>
      <c r="G345">
        <v>81.98</v>
      </c>
      <c r="J345">
        <f t="shared" si="5"/>
        <v>81.98</v>
      </c>
    </row>
    <row r="346" spans="1:10" x14ac:dyDescent="0.25">
      <c r="A346" t="s">
        <v>84</v>
      </c>
      <c r="B346" t="s">
        <v>85</v>
      </c>
      <c r="C346" t="s">
        <v>20</v>
      </c>
      <c r="D346" t="s">
        <v>21</v>
      </c>
      <c r="G346">
        <v>79.92</v>
      </c>
      <c r="J346">
        <f t="shared" si="5"/>
        <v>79.92</v>
      </c>
    </row>
    <row r="347" spans="1:10" x14ac:dyDescent="0.25">
      <c r="A347" t="s">
        <v>84</v>
      </c>
      <c r="B347" t="s">
        <v>85</v>
      </c>
      <c r="C347" t="s">
        <v>22</v>
      </c>
      <c r="D347" t="s">
        <v>23</v>
      </c>
      <c r="G347">
        <v>81.28</v>
      </c>
      <c r="J347">
        <f t="shared" si="5"/>
        <v>81.28</v>
      </c>
    </row>
    <row r="348" spans="1:10" x14ac:dyDescent="0.25">
      <c r="A348" t="s">
        <v>84</v>
      </c>
      <c r="B348" t="s">
        <v>85</v>
      </c>
      <c r="C348" t="s">
        <v>24</v>
      </c>
      <c r="D348" t="s">
        <v>25</v>
      </c>
      <c r="J348">
        <f t="shared" si="5"/>
        <v>0</v>
      </c>
    </row>
    <row r="349" spans="1:10" x14ac:dyDescent="0.25">
      <c r="A349" t="s">
        <v>84</v>
      </c>
      <c r="B349" t="s">
        <v>85</v>
      </c>
      <c r="C349" t="s">
        <v>26</v>
      </c>
      <c r="D349" t="s">
        <v>27</v>
      </c>
      <c r="J349">
        <f t="shared" si="5"/>
        <v>0</v>
      </c>
    </row>
    <row r="350" spans="1:10" x14ac:dyDescent="0.25">
      <c r="A350" t="s">
        <v>84</v>
      </c>
      <c r="B350" t="s">
        <v>85</v>
      </c>
      <c r="C350" t="s">
        <v>28</v>
      </c>
      <c r="D350" t="s">
        <v>29</v>
      </c>
      <c r="E350">
        <v>5</v>
      </c>
      <c r="J350">
        <f t="shared" si="5"/>
        <v>5</v>
      </c>
    </row>
    <row r="351" spans="1:10" x14ac:dyDescent="0.25">
      <c r="A351" t="s">
        <v>84</v>
      </c>
      <c r="B351" t="s">
        <v>85</v>
      </c>
      <c r="C351" t="s">
        <v>30</v>
      </c>
      <c r="D351" t="s">
        <v>31</v>
      </c>
      <c r="E351">
        <v>92.565253188278206</v>
      </c>
      <c r="F351">
        <v>98.709881954654506</v>
      </c>
      <c r="G351">
        <v>85.011503670198493</v>
      </c>
      <c r="H351">
        <v>79.102321887849499</v>
      </c>
      <c r="I351">
        <v>83.6989369386242</v>
      </c>
      <c r="J351">
        <f t="shared" si="5"/>
        <v>98.709881954654506</v>
      </c>
    </row>
    <row r="352" spans="1:10" x14ac:dyDescent="0.25">
      <c r="A352" t="s">
        <v>84</v>
      </c>
      <c r="B352" t="s">
        <v>85</v>
      </c>
      <c r="C352" t="s">
        <v>32</v>
      </c>
      <c r="D352" t="s">
        <v>33</v>
      </c>
      <c r="E352">
        <v>14</v>
      </c>
      <c r="F352">
        <v>14</v>
      </c>
      <c r="G352">
        <v>14</v>
      </c>
      <c r="H352">
        <v>14</v>
      </c>
      <c r="I352">
        <v>14</v>
      </c>
      <c r="J352">
        <f t="shared" si="5"/>
        <v>14</v>
      </c>
    </row>
    <row r="353" spans="1:10" x14ac:dyDescent="0.25">
      <c r="A353" t="s">
        <v>84</v>
      </c>
      <c r="B353" t="s">
        <v>85</v>
      </c>
      <c r="C353" t="s">
        <v>34</v>
      </c>
      <c r="D353" t="s">
        <v>35</v>
      </c>
      <c r="E353">
        <v>39.523811340332003</v>
      </c>
      <c r="F353">
        <v>37.619049072265597</v>
      </c>
      <c r="G353">
        <v>34.285713195800803</v>
      </c>
      <c r="H353">
        <v>32.075469970703097</v>
      </c>
      <c r="I353">
        <v>34.433963775634801</v>
      </c>
      <c r="J353">
        <f t="shared" si="5"/>
        <v>39.523811340332003</v>
      </c>
    </row>
    <row r="354" spans="1:10" x14ac:dyDescent="0.25">
      <c r="A354" t="s">
        <v>84</v>
      </c>
      <c r="B354" t="s">
        <v>85</v>
      </c>
      <c r="C354" t="s">
        <v>36</v>
      </c>
      <c r="D354" t="s">
        <v>37</v>
      </c>
      <c r="E354">
        <v>21.999580967090601</v>
      </c>
      <c r="F354">
        <v>51.6526428031477</v>
      </c>
      <c r="J354">
        <f t="shared" si="5"/>
        <v>51.6526428031477</v>
      </c>
    </row>
    <row r="355" spans="1:10" x14ac:dyDescent="0.25">
      <c r="A355" t="s">
        <v>84</v>
      </c>
      <c r="B355" t="s">
        <v>85</v>
      </c>
      <c r="C355" t="s">
        <v>38</v>
      </c>
      <c r="D355" t="s">
        <v>39</v>
      </c>
      <c r="E355">
        <v>10.5398803410033</v>
      </c>
      <c r="F355">
        <v>8.4526313135601203</v>
      </c>
      <c r="J355">
        <f t="shared" si="5"/>
        <v>10.5398803410033</v>
      </c>
    </row>
    <row r="356" spans="1:10" x14ac:dyDescent="0.25">
      <c r="A356" t="s">
        <v>84</v>
      </c>
      <c r="B356" t="s">
        <v>85</v>
      </c>
      <c r="C356" t="s">
        <v>40</v>
      </c>
      <c r="D356" t="s">
        <v>41</v>
      </c>
      <c r="E356">
        <v>86.473097999999993</v>
      </c>
      <c r="F356">
        <v>85.023419000000004</v>
      </c>
      <c r="G356">
        <v>81.256580999999997</v>
      </c>
      <c r="H356">
        <v>85.014037999999999</v>
      </c>
      <c r="J356">
        <f t="shared" si="5"/>
        <v>86.473097999999993</v>
      </c>
    </row>
    <row r="357" spans="1:10" x14ac:dyDescent="0.25">
      <c r="A357" t="s">
        <v>84</v>
      </c>
      <c r="B357" t="s">
        <v>85</v>
      </c>
      <c r="C357" t="s">
        <v>42</v>
      </c>
      <c r="D357" t="s">
        <v>43</v>
      </c>
      <c r="J357">
        <f t="shared" si="5"/>
        <v>0</v>
      </c>
    </row>
    <row r="358" spans="1:10" x14ac:dyDescent="0.25">
      <c r="A358" t="s">
        <v>84</v>
      </c>
      <c r="B358" t="s">
        <v>85</v>
      </c>
      <c r="C358" t="s">
        <v>44</v>
      </c>
      <c r="D358" t="s">
        <v>45</v>
      </c>
      <c r="E358">
        <v>16.600000000000001</v>
      </c>
      <c r="J358">
        <f t="shared" si="5"/>
        <v>16.600000000000001</v>
      </c>
    </row>
    <row r="359" spans="1:10" x14ac:dyDescent="0.25">
      <c r="A359" t="s">
        <v>86</v>
      </c>
      <c r="B359" t="s">
        <v>87</v>
      </c>
      <c r="C359" t="s">
        <v>11</v>
      </c>
      <c r="D359" t="s">
        <v>12</v>
      </c>
      <c r="G359">
        <v>83.97</v>
      </c>
      <c r="J359">
        <f t="shared" si="5"/>
        <v>83.97</v>
      </c>
    </row>
    <row r="360" spans="1:10" x14ac:dyDescent="0.25">
      <c r="A360" t="s">
        <v>86</v>
      </c>
      <c r="B360" t="s">
        <v>87</v>
      </c>
      <c r="C360" t="s">
        <v>14</v>
      </c>
      <c r="D360" t="s">
        <v>15</v>
      </c>
      <c r="G360">
        <v>84.32</v>
      </c>
      <c r="J360">
        <f t="shared" si="5"/>
        <v>84.32</v>
      </c>
    </row>
    <row r="361" spans="1:10" x14ac:dyDescent="0.25">
      <c r="A361" t="s">
        <v>86</v>
      </c>
      <c r="B361" t="s">
        <v>87</v>
      </c>
      <c r="C361" t="s">
        <v>16</v>
      </c>
      <c r="D361" t="s">
        <v>17</v>
      </c>
      <c r="G361">
        <v>83.59</v>
      </c>
      <c r="J361">
        <f t="shared" si="5"/>
        <v>83.59</v>
      </c>
    </row>
    <row r="362" spans="1:10" x14ac:dyDescent="0.25">
      <c r="A362" t="s">
        <v>86</v>
      </c>
      <c r="B362" t="s">
        <v>87</v>
      </c>
      <c r="C362" t="s">
        <v>18</v>
      </c>
      <c r="D362" t="s">
        <v>19</v>
      </c>
      <c r="G362">
        <v>73.87</v>
      </c>
      <c r="J362">
        <f t="shared" si="5"/>
        <v>73.87</v>
      </c>
    </row>
    <row r="363" spans="1:10" x14ac:dyDescent="0.25">
      <c r="A363" t="s">
        <v>86</v>
      </c>
      <c r="B363" t="s">
        <v>87</v>
      </c>
      <c r="C363" t="s">
        <v>20</v>
      </c>
      <c r="D363" t="s">
        <v>21</v>
      </c>
      <c r="G363">
        <v>88.62</v>
      </c>
      <c r="J363">
        <f t="shared" si="5"/>
        <v>88.62</v>
      </c>
    </row>
    <row r="364" spans="1:10" x14ac:dyDescent="0.25">
      <c r="A364" t="s">
        <v>86</v>
      </c>
      <c r="B364" t="s">
        <v>87</v>
      </c>
      <c r="C364" t="s">
        <v>22</v>
      </c>
      <c r="D364" t="s">
        <v>23</v>
      </c>
      <c r="G364">
        <v>70.95</v>
      </c>
      <c r="J364">
        <f t="shared" si="5"/>
        <v>70.95</v>
      </c>
    </row>
    <row r="365" spans="1:10" x14ac:dyDescent="0.25">
      <c r="A365" t="s">
        <v>86</v>
      </c>
      <c r="B365" t="s">
        <v>87</v>
      </c>
      <c r="C365" t="s">
        <v>24</v>
      </c>
      <c r="D365" t="s">
        <v>25</v>
      </c>
      <c r="J365">
        <f t="shared" si="5"/>
        <v>0</v>
      </c>
    </row>
    <row r="366" spans="1:10" x14ac:dyDescent="0.25">
      <c r="A366" t="s">
        <v>86</v>
      </c>
      <c r="B366" t="s">
        <v>87</v>
      </c>
      <c r="C366" t="s">
        <v>26</v>
      </c>
      <c r="D366" t="s">
        <v>27</v>
      </c>
      <c r="E366">
        <v>10</v>
      </c>
      <c r="I366">
        <v>0.9</v>
      </c>
      <c r="J366">
        <f t="shared" si="5"/>
        <v>10</v>
      </c>
    </row>
    <row r="367" spans="1:10" x14ac:dyDescent="0.25">
      <c r="A367" t="s">
        <v>86</v>
      </c>
      <c r="B367" t="s">
        <v>87</v>
      </c>
      <c r="C367" t="s">
        <v>28</v>
      </c>
      <c r="D367" t="s">
        <v>29</v>
      </c>
      <c r="E367">
        <v>10</v>
      </c>
      <c r="J367">
        <f t="shared" si="5"/>
        <v>10</v>
      </c>
    </row>
    <row r="368" spans="1:10" x14ac:dyDescent="0.25">
      <c r="A368" t="s">
        <v>86</v>
      </c>
      <c r="B368" t="s">
        <v>87</v>
      </c>
      <c r="C368" t="s">
        <v>30</v>
      </c>
      <c r="D368" t="s">
        <v>31</v>
      </c>
      <c r="E368">
        <v>27.034008142795301</v>
      </c>
      <c r="F368">
        <v>32.101808122631802</v>
      </c>
      <c r="G368">
        <v>32.749223603340901</v>
      </c>
      <c r="H368">
        <v>30.1997861927243</v>
      </c>
      <c r="J368">
        <f t="shared" si="5"/>
        <v>32.749223603340901</v>
      </c>
    </row>
    <row r="369" spans="1:10" x14ac:dyDescent="0.25">
      <c r="A369" t="s">
        <v>86</v>
      </c>
      <c r="B369" t="s">
        <v>87</v>
      </c>
      <c r="C369" t="s">
        <v>32</v>
      </c>
      <c r="D369" t="s">
        <v>33</v>
      </c>
      <c r="E369">
        <v>11</v>
      </c>
      <c r="F369">
        <v>11</v>
      </c>
      <c r="G369">
        <v>11</v>
      </c>
      <c r="H369">
        <v>11</v>
      </c>
      <c r="I369">
        <v>11</v>
      </c>
      <c r="J369">
        <f t="shared" si="5"/>
        <v>11</v>
      </c>
    </row>
    <row r="370" spans="1:10" x14ac:dyDescent="0.25">
      <c r="A370" t="s">
        <v>86</v>
      </c>
      <c r="B370" t="s">
        <v>87</v>
      </c>
      <c r="C370" t="s">
        <v>34</v>
      </c>
      <c r="D370" t="s">
        <v>35</v>
      </c>
      <c r="E370">
        <v>49.523811340332003</v>
      </c>
      <c r="F370">
        <v>43.809524536132798</v>
      </c>
      <c r="G370">
        <v>48.095237731933601</v>
      </c>
      <c r="H370">
        <v>50</v>
      </c>
      <c r="I370">
        <v>50</v>
      </c>
      <c r="J370">
        <f t="shared" si="5"/>
        <v>50</v>
      </c>
    </row>
    <row r="371" spans="1:10" x14ac:dyDescent="0.25">
      <c r="A371" t="s">
        <v>86</v>
      </c>
      <c r="B371" t="s">
        <v>87</v>
      </c>
      <c r="C371" t="s">
        <v>36</v>
      </c>
      <c r="D371" t="s">
        <v>37</v>
      </c>
      <c r="J371">
        <f t="shared" si="5"/>
        <v>0</v>
      </c>
    </row>
    <row r="372" spans="1:10" x14ac:dyDescent="0.25">
      <c r="A372" t="s">
        <v>86</v>
      </c>
      <c r="B372" t="s">
        <v>87</v>
      </c>
      <c r="C372" t="s">
        <v>38</v>
      </c>
      <c r="D372" t="s">
        <v>39</v>
      </c>
      <c r="J372">
        <f t="shared" si="5"/>
        <v>0</v>
      </c>
    </row>
    <row r="373" spans="1:10" x14ac:dyDescent="0.25">
      <c r="A373" t="s">
        <v>86</v>
      </c>
      <c r="B373" t="s">
        <v>87</v>
      </c>
      <c r="C373" t="s">
        <v>40</v>
      </c>
      <c r="D373" t="s">
        <v>41</v>
      </c>
      <c r="E373">
        <v>86.762874999999994</v>
      </c>
      <c r="F373">
        <v>84.516228999999996</v>
      </c>
      <c r="G373">
        <v>80.964346000000006</v>
      </c>
      <c r="H373">
        <v>85.178349999999995</v>
      </c>
      <c r="J373">
        <f t="shared" si="5"/>
        <v>86.762874999999994</v>
      </c>
    </row>
    <row r="374" spans="1:10" x14ac:dyDescent="0.25">
      <c r="A374" t="s">
        <v>86</v>
      </c>
      <c r="B374" t="s">
        <v>87</v>
      </c>
      <c r="C374" t="s">
        <v>42</v>
      </c>
      <c r="D374" t="s">
        <v>43</v>
      </c>
      <c r="J374">
        <f t="shared" si="5"/>
        <v>0</v>
      </c>
    </row>
    <row r="375" spans="1:10" x14ac:dyDescent="0.25">
      <c r="A375" t="s">
        <v>86</v>
      </c>
      <c r="B375" t="s">
        <v>87</v>
      </c>
      <c r="C375" t="s">
        <v>44</v>
      </c>
      <c r="D375" t="s">
        <v>45</v>
      </c>
      <c r="E375">
        <v>23</v>
      </c>
      <c r="J375">
        <f t="shared" si="5"/>
        <v>23</v>
      </c>
    </row>
    <row r="376" spans="1:10" x14ac:dyDescent="0.25">
      <c r="A376" t="s">
        <v>88</v>
      </c>
      <c r="B376" t="s">
        <v>89</v>
      </c>
      <c r="C376" t="s">
        <v>11</v>
      </c>
      <c r="D376" t="s">
        <v>12</v>
      </c>
      <c r="J376">
        <f t="shared" si="5"/>
        <v>0</v>
      </c>
    </row>
    <row r="377" spans="1:10" x14ac:dyDescent="0.25">
      <c r="A377" t="s">
        <v>88</v>
      </c>
      <c r="B377" t="s">
        <v>89</v>
      </c>
      <c r="C377" t="s">
        <v>14</v>
      </c>
      <c r="D377" t="s">
        <v>15</v>
      </c>
      <c r="J377">
        <f t="shared" si="5"/>
        <v>0</v>
      </c>
    </row>
    <row r="378" spans="1:10" x14ac:dyDescent="0.25">
      <c r="A378" t="s">
        <v>88</v>
      </c>
      <c r="B378" t="s">
        <v>89</v>
      </c>
      <c r="C378" t="s">
        <v>16</v>
      </c>
      <c r="D378" t="s">
        <v>17</v>
      </c>
      <c r="J378">
        <f t="shared" si="5"/>
        <v>0</v>
      </c>
    </row>
    <row r="379" spans="1:10" x14ac:dyDescent="0.25">
      <c r="A379" t="s">
        <v>88</v>
      </c>
      <c r="B379" t="s">
        <v>89</v>
      </c>
      <c r="C379" t="s">
        <v>18</v>
      </c>
      <c r="D379" t="s">
        <v>19</v>
      </c>
      <c r="J379">
        <f t="shared" si="5"/>
        <v>0</v>
      </c>
    </row>
    <row r="380" spans="1:10" x14ac:dyDescent="0.25">
      <c r="A380" t="s">
        <v>88</v>
      </c>
      <c r="B380" t="s">
        <v>89</v>
      </c>
      <c r="C380" t="s">
        <v>20</v>
      </c>
      <c r="D380" t="s">
        <v>21</v>
      </c>
      <c r="J380">
        <f t="shared" si="5"/>
        <v>0</v>
      </c>
    </row>
    <row r="381" spans="1:10" x14ac:dyDescent="0.25">
      <c r="A381" t="s">
        <v>88</v>
      </c>
      <c r="B381" t="s">
        <v>89</v>
      </c>
      <c r="C381" t="s">
        <v>22</v>
      </c>
      <c r="D381" t="s">
        <v>23</v>
      </c>
      <c r="J381">
        <f t="shared" si="5"/>
        <v>0</v>
      </c>
    </row>
    <row r="382" spans="1:10" x14ac:dyDescent="0.25">
      <c r="A382" t="s">
        <v>88</v>
      </c>
      <c r="B382" t="s">
        <v>89</v>
      </c>
      <c r="C382" t="s">
        <v>24</v>
      </c>
      <c r="D382" t="s">
        <v>25</v>
      </c>
      <c r="J382">
        <f t="shared" si="5"/>
        <v>0</v>
      </c>
    </row>
    <row r="383" spans="1:10" x14ac:dyDescent="0.25">
      <c r="A383" t="s">
        <v>88</v>
      </c>
      <c r="B383" t="s">
        <v>89</v>
      </c>
      <c r="C383" t="s">
        <v>26</v>
      </c>
      <c r="D383" t="s">
        <v>27</v>
      </c>
      <c r="J383">
        <f t="shared" si="5"/>
        <v>0</v>
      </c>
    </row>
    <row r="384" spans="1:10" x14ac:dyDescent="0.25">
      <c r="A384" t="s">
        <v>88</v>
      </c>
      <c r="B384" t="s">
        <v>89</v>
      </c>
      <c r="C384" t="s">
        <v>28</v>
      </c>
      <c r="D384" t="s">
        <v>29</v>
      </c>
      <c r="E384">
        <v>1</v>
      </c>
      <c r="J384">
        <f t="shared" si="5"/>
        <v>1</v>
      </c>
    </row>
    <row r="385" spans="1:10" x14ac:dyDescent="0.25">
      <c r="A385" t="s">
        <v>88</v>
      </c>
      <c r="B385" t="s">
        <v>89</v>
      </c>
      <c r="C385" t="s">
        <v>30</v>
      </c>
      <c r="D385" t="s">
        <v>31</v>
      </c>
      <c r="J385">
        <f t="shared" si="5"/>
        <v>0</v>
      </c>
    </row>
    <row r="386" spans="1:10" x14ac:dyDescent="0.25">
      <c r="A386" t="s">
        <v>88</v>
      </c>
      <c r="B386" t="s">
        <v>89</v>
      </c>
      <c r="C386" t="s">
        <v>32</v>
      </c>
      <c r="D386" t="s">
        <v>33</v>
      </c>
      <c r="E386">
        <v>10</v>
      </c>
      <c r="F386">
        <v>10</v>
      </c>
      <c r="G386">
        <v>10</v>
      </c>
      <c r="H386">
        <v>10</v>
      </c>
      <c r="I386">
        <v>10</v>
      </c>
      <c r="J386">
        <f t="shared" si="5"/>
        <v>10</v>
      </c>
    </row>
    <row r="387" spans="1:10" x14ac:dyDescent="0.25">
      <c r="A387" t="s">
        <v>88</v>
      </c>
      <c r="B387" t="s">
        <v>89</v>
      </c>
      <c r="C387" t="s">
        <v>34</v>
      </c>
      <c r="D387" t="s">
        <v>35</v>
      </c>
      <c r="E387">
        <v>79.047622680664105</v>
      </c>
      <c r="F387">
        <v>79.523811340332003</v>
      </c>
      <c r="G387">
        <v>82.380950927734403</v>
      </c>
      <c r="H387">
        <v>80.660377502441406</v>
      </c>
      <c r="I387">
        <v>81.132072448730497</v>
      </c>
      <c r="J387">
        <f t="shared" ref="J387:J450" si="6">MAX(E387:I387)</f>
        <v>82.380950927734403</v>
      </c>
    </row>
    <row r="388" spans="1:10" x14ac:dyDescent="0.25">
      <c r="A388" t="s">
        <v>88</v>
      </c>
      <c r="B388" t="s">
        <v>89</v>
      </c>
      <c r="C388" t="s">
        <v>36</v>
      </c>
      <c r="D388" t="s">
        <v>37</v>
      </c>
      <c r="J388">
        <f t="shared" si="6"/>
        <v>0</v>
      </c>
    </row>
    <row r="389" spans="1:10" x14ac:dyDescent="0.25">
      <c r="A389" t="s">
        <v>88</v>
      </c>
      <c r="B389" t="s">
        <v>89</v>
      </c>
      <c r="C389" t="s">
        <v>38</v>
      </c>
      <c r="D389" t="s">
        <v>39</v>
      </c>
      <c r="J389">
        <f t="shared" si="6"/>
        <v>0</v>
      </c>
    </row>
    <row r="390" spans="1:10" x14ac:dyDescent="0.25">
      <c r="A390" t="s">
        <v>88</v>
      </c>
      <c r="B390" t="s">
        <v>89</v>
      </c>
      <c r="C390" t="s">
        <v>40</v>
      </c>
      <c r="D390" t="s">
        <v>41</v>
      </c>
      <c r="E390">
        <v>89.538787999999997</v>
      </c>
      <c r="F390">
        <v>87.065880000000007</v>
      </c>
      <c r="G390">
        <v>87.924623999999994</v>
      </c>
      <c r="H390">
        <v>89.803916999999998</v>
      </c>
      <c r="J390">
        <f t="shared" si="6"/>
        <v>89.803916999999998</v>
      </c>
    </row>
    <row r="391" spans="1:10" x14ac:dyDescent="0.25">
      <c r="A391" t="s">
        <v>88</v>
      </c>
      <c r="B391" t="s">
        <v>89</v>
      </c>
      <c r="C391" t="s">
        <v>42</v>
      </c>
      <c r="D391" t="s">
        <v>43</v>
      </c>
      <c r="J391">
        <f t="shared" si="6"/>
        <v>0</v>
      </c>
    </row>
    <row r="392" spans="1:10" x14ac:dyDescent="0.25">
      <c r="A392" t="s">
        <v>88</v>
      </c>
      <c r="B392" t="s">
        <v>89</v>
      </c>
      <c r="C392" t="s">
        <v>44</v>
      </c>
      <c r="D392" t="s">
        <v>45</v>
      </c>
      <c r="E392">
        <v>9</v>
      </c>
      <c r="J392">
        <f t="shared" si="6"/>
        <v>9</v>
      </c>
    </row>
    <row r="393" spans="1:10" x14ac:dyDescent="0.25">
      <c r="A393" t="s">
        <v>90</v>
      </c>
      <c r="B393" t="s">
        <v>91</v>
      </c>
      <c r="C393" t="s">
        <v>11</v>
      </c>
      <c r="D393" t="s">
        <v>12</v>
      </c>
      <c r="G393">
        <v>33.39</v>
      </c>
      <c r="J393">
        <f t="shared" si="6"/>
        <v>33.39</v>
      </c>
    </row>
    <row r="394" spans="1:10" x14ac:dyDescent="0.25">
      <c r="A394" t="s">
        <v>90</v>
      </c>
      <c r="B394" t="s">
        <v>91</v>
      </c>
      <c r="C394" t="s">
        <v>14</v>
      </c>
      <c r="D394" t="s">
        <v>15</v>
      </c>
      <c r="G394">
        <v>32.520000000000003</v>
      </c>
      <c r="J394">
        <f t="shared" si="6"/>
        <v>32.520000000000003</v>
      </c>
    </row>
    <row r="395" spans="1:10" x14ac:dyDescent="0.25">
      <c r="A395" t="s">
        <v>90</v>
      </c>
      <c r="B395" t="s">
        <v>91</v>
      </c>
      <c r="C395" t="s">
        <v>16</v>
      </c>
      <c r="D395" t="s">
        <v>17</v>
      </c>
      <c r="G395">
        <v>34.409999999999997</v>
      </c>
      <c r="J395">
        <f t="shared" si="6"/>
        <v>34.409999999999997</v>
      </c>
    </row>
    <row r="396" spans="1:10" x14ac:dyDescent="0.25">
      <c r="A396" t="s">
        <v>90</v>
      </c>
      <c r="B396" t="s">
        <v>91</v>
      </c>
      <c r="C396" t="s">
        <v>18</v>
      </c>
      <c r="D396" t="s">
        <v>19</v>
      </c>
      <c r="G396">
        <v>23.35</v>
      </c>
      <c r="J396">
        <f t="shared" si="6"/>
        <v>23.35</v>
      </c>
    </row>
    <row r="397" spans="1:10" x14ac:dyDescent="0.25">
      <c r="A397" t="s">
        <v>90</v>
      </c>
      <c r="B397" t="s">
        <v>91</v>
      </c>
      <c r="C397" t="s">
        <v>20</v>
      </c>
      <c r="D397" t="s">
        <v>21</v>
      </c>
      <c r="G397">
        <v>27.65</v>
      </c>
      <c r="J397">
        <f t="shared" si="6"/>
        <v>27.65</v>
      </c>
    </row>
    <row r="398" spans="1:10" x14ac:dyDescent="0.25">
      <c r="A398" t="s">
        <v>90</v>
      </c>
      <c r="B398" t="s">
        <v>91</v>
      </c>
      <c r="C398" t="s">
        <v>22</v>
      </c>
      <c r="D398" t="s">
        <v>23</v>
      </c>
      <c r="G398">
        <v>28.77</v>
      </c>
      <c r="J398">
        <f t="shared" si="6"/>
        <v>28.77</v>
      </c>
    </row>
    <row r="399" spans="1:10" x14ac:dyDescent="0.25">
      <c r="A399" t="s">
        <v>90</v>
      </c>
      <c r="B399" t="s">
        <v>91</v>
      </c>
      <c r="C399" t="s">
        <v>24</v>
      </c>
      <c r="D399" t="s">
        <v>25</v>
      </c>
      <c r="J399">
        <f t="shared" si="6"/>
        <v>0</v>
      </c>
    </row>
    <row r="400" spans="1:10" x14ac:dyDescent="0.25">
      <c r="A400" t="s">
        <v>90</v>
      </c>
      <c r="B400" t="s">
        <v>91</v>
      </c>
      <c r="C400" t="s">
        <v>26</v>
      </c>
      <c r="D400" t="s">
        <v>27</v>
      </c>
      <c r="I400">
        <v>27.1</v>
      </c>
      <c r="J400">
        <f t="shared" si="6"/>
        <v>27.1</v>
      </c>
    </row>
    <row r="401" spans="1:10" x14ac:dyDescent="0.25">
      <c r="A401" t="s">
        <v>90</v>
      </c>
      <c r="B401" t="s">
        <v>91</v>
      </c>
      <c r="C401" t="s">
        <v>28</v>
      </c>
      <c r="D401" t="s">
        <v>29</v>
      </c>
      <c r="E401">
        <v>6</v>
      </c>
      <c r="J401">
        <f t="shared" si="6"/>
        <v>6</v>
      </c>
    </row>
    <row r="402" spans="1:10" x14ac:dyDescent="0.25">
      <c r="A402" t="s">
        <v>90</v>
      </c>
      <c r="B402" t="s">
        <v>91</v>
      </c>
      <c r="C402" t="s">
        <v>30</v>
      </c>
      <c r="D402" t="s">
        <v>31</v>
      </c>
      <c r="J402">
        <f t="shared" si="6"/>
        <v>0</v>
      </c>
    </row>
    <row r="403" spans="1:10" x14ac:dyDescent="0.25">
      <c r="A403" t="s">
        <v>90</v>
      </c>
      <c r="B403" t="s">
        <v>91</v>
      </c>
      <c r="C403" t="s">
        <v>32</v>
      </c>
      <c r="D403" t="s">
        <v>33</v>
      </c>
      <c r="J403">
        <f t="shared" si="6"/>
        <v>0</v>
      </c>
    </row>
    <row r="404" spans="1:10" x14ac:dyDescent="0.25">
      <c r="A404" t="s">
        <v>90</v>
      </c>
      <c r="B404" t="s">
        <v>91</v>
      </c>
      <c r="C404" t="s">
        <v>34</v>
      </c>
      <c r="D404" t="s">
        <v>35</v>
      </c>
      <c r="E404">
        <v>9.5238094329834002</v>
      </c>
      <c r="F404">
        <v>10.4761905670166</v>
      </c>
      <c r="G404">
        <v>11.428571701049799</v>
      </c>
      <c r="H404">
        <v>9.9056606292724592</v>
      </c>
      <c r="I404">
        <v>9.4339618682861293</v>
      </c>
      <c r="J404">
        <f t="shared" si="6"/>
        <v>11.428571701049799</v>
      </c>
    </row>
    <row r="405" spans="1:10" x14ac:dyDescent="0.25">
      <c r="A405" t="s">
        <v>90</v>
      </c>
      <c r="B405" t="s">
        <v>91</v>
      </c>
      <c r="C405" t="s">
        <v>36</v>
      </c>
      <c r="D405" t="s">
        <v>37</v>
      </c>
      <c r="J405">
        <f t="shared" si="6"/>
        <v>0</v>
      </c>
    </row>
    <row r="406" spans="1:10" x14ac:dyDescent="0.25">
      <c r="A406" t="s">
        <v>90</v>
      </c>
      <c r="B406" t="s">
        <v>91</v>
      </c>
      <c r="C406" t="s">
        <v>38</v>
      </c>
      <c r="D406" t="s">
        <v>39</v>
      </c>
      <c r="J406">
        <f t="shared" si="6"/>
        <v>0</v>
      </c>
    </row>
    <row r="407" spans="1:10" x14ac:dyDescent="0.25">
      <c r="A407" t="s">
        <v>90</v>
      </c>
      <c r="B407" t="s">
        <v>91</v>
      </c>
      <c r="C407" t="s">
        <v>40</v>
      </c>
      <c r="D407" t="s">
        <v>41</v>
      </c>
      <c r="E407">
        <v>78.154100999999997</v>
      </c>
      <c r="F407">
        <v>78.328804000000005</v>
      </c>
      <c r="G407">
        <v>76.407517999999996</v>
      </c>
      <c r="H407">
        <v>78.957722000000004</v>
      </c>
      <c r="J407">
        <f t="shared" si="6"/>
        <v>78.957722000000004</v>
      </c>
    </row>
    <row r="408" spans="1:10" x14ac:dyDescent="0.25">
      <c r="A408" t="s">
        <v>90</v>
      </c>
      <c r="B408" t="s">
        <v>91</v>
      </c>
      <c r="C408" t="s">
        <v>42</v>
      </c>
      <c r="D408" t="s">
        <v>43</v>
      </c>
      <c r="J408">
        <f t="shared" si="6"/>
        <v>0</v>
      </c>
    </row>
    <row r="409" spans="1:10" x14ac:dyDescent="0.25">
      <c r="A409" t="s">
        <v>90</v>
      </c>
      <c r="B409" t="s">
        <v>91</v>
      </c>
      <c r="C409" t="s">
        <v>44</v>
      </c>
      <c r="D409" t="s">
        <v>45</v>
      </c>
      <c r="E409">
        <v>99</v>
      </c>
      <c r="J409">
        <f t="shared" si="6"/>
        <v>99</v>
      </c>
    </row>
    <row r="410" spans="1:10" x14ac:dyDescent="0.25">
      <c r="A410" t="s">
        <v>92</v>
      </c>
      <c r="B410" t="s">
        <v>93</v>
      </c>
      <c r="C410" t="s">
        <v>11</v>
      </c>
      <c r="D410" t="s">
        <v>12</v>
      </c>
      <c r="G410">
        <v>99.63</v>
      </c>
      <c r="J410">
        <f t="shared" si="6"/>
        <v>99.63</v>
      </c>
    </row>
    <row r="411" spans="1:10" x14ac:dyDescent="0.25">
      <c r="A411" t="s">
        <v>92</v>
      </c>
      <c r="B411" t="s">
        <v>93</v>
      </c>
      <c r="C411" t="s">
        <v>14</v>
      </c>
      <c r="D411" t="s">
        <v>15</v>
      </c>
      <c r="G411">
        <v>99.51</v>
      </c>
      <c r="J411">
        <f t="shared" si="6"/>
        <v>99.51</v>
      </c>
    </row>
    <row r="412" spans="1:10" x14ac:dyDescent="0.25">
      <c r="A412" t="s">
        <v>92</v>
      </c>
      <c r="B412" t="s">
        <v>93</v>
      </c>
      <c r="C412" t="s">
        <v>16</v>
      </c>
      <c r="D412" t="s">
        <v>17</v>
      </c>
      <c r="G412">
        <v>99.77</v>
      </c>
      <c r="J412">
        <f t="shared" si="6"/>
        <v>99.77</v>
      </c>
    </row>
    <row r="413" spans="1:10" x14ac:dyDescent="0.25">
      <c r="A413" t="s">
        <v>92</v>
      </c>
      <c r="B413" t="s">
        <v>93</v>
      </c>
      <c r="C413" t="s">
        <v>18</v>
      </c>
      <c r="D413" t="s">
        <v>19</v>
      </c>
      <c r="G413">
        <v>99.37</v>
      </c>
      <c r="J413">
        <f t="shared" si="6"/>
        <v>99.37</v>
      </c>
    </row>
    <row r="414" spans="1:10" x14ac:dyDescent="0.25">
      <c r="A414" t="s">
        <v>92</v>
      </c>
      <c r="B414" t="s">
        <v>93</v>
      </c>
      <c r="C414" t="s">
        <v>20</v>
      </c>
      <c r="D414" t="s">
        <v>21</v>
      </c>
      <c r="G414">
        <v>100</v>
      </c>
      <c r="J414">
        <f t="shared" si="6"/>
        <v>100</v>
      </c>
    </row>
    <row r="415" spans="1:10" x14ac:dyDescent="0.25">
      <c r="A415" t="s">
        <v>92</v>
      </c>
      <c r="B415" t="s">
        <v>93</v>
      </c>
      <c r="C415" t="s">
        <v>22</v>
      </c>
      <c r="D415" t="s">
        <v>23</v>
      </c>
      <c r="G415">
        <v>90.16</v>
      </c>
      <c r="J415">
        <f t="shared" si="6"/>
        <v>90.16</v>
      </c>
    </row>
    <row r="416" spans="1:10" x14ac:dyDescent="0.25">
      <c r="A416" t="s">
        <v>92</v>
      </c>
      <c r="B416" t="s">
        <v>93</v>
      </c>
      <c r="C416" t="s">
        <v>24</v>
      </c>
      <c r="D416" t="s">
        <v>25</v>
      </c>
      <c r="J416">
        <f t="shared" si="6"/>
        <v>0</v>
      </c>
    </row>
    <row r="417" spans="1:10" x14ac:dyDescent="0.25">
      <c r="A417" t="s">
        <v>92</v>
      </c>
      <c r="B417" t="s">
        <v>93</v>
      </c>
      <c r="C417" t="s">
        <v>26</v>
      </c>
      <c r="D417" t="s">
        <v>27</v>
      </c>
      <c r="J417">
        <f t="shared" si="6"/>
        <v>0</v>
      </c>
    </row>
    <row r="418" spans="1:10" x14ac:dyDescent="0.25">
      <c r="A418" t="s">
        <v>92</v>
      </c>
      <c r="B418" t="s">
        <v>93</v>
      </c>
      <c r="C418" t="s">
        <v>28</v>
      </c>
      <c r="D418" t="s">
        <v>29</v>
      </c>
      <c r="E418">
        <v>8</v>
      </c>
      <c r="J418">
        <f t="shared" si="6"/>
        <v>8</v>
      </c>
    </row>
    <row r="419" spans="1:10" x14ac:dyDescent="0.25">
      <c r="A419" t="s">
        <v>92</v>
      </c>
      <c r="B419" t="s">
        <v>93</v>
      </c>
      <c r="C419" t="s">
        <v>30</v>
      </c>
      <c r="D419" t="s">
        <v>31</v>
      </c>
      <c r="E419">
        <v>53.362324691395898</v>
      </c>
      <c r="F419">
        <v>74.554047104154606</v>
      </c>
      <c r="G419">
        <v>71.073960231581907</v>
      </c>
      <c r="H419">
        <v>61.417863575338302</v>
      </c>
      <c r="I419">
        <v>62.228522823929701</v>
      </c>
      <c r="J419">
        <f t="shared" si="6"/>
        <v>74.554047104154606</v>
      </c>
    </row>
    <row r="420" spans="1:10" x14ac:dyDescent="0.25">
      <c r="A420" t="s">
        <v>92</v>
      </c>
      <c r="B420" t="s">
        <v>93</v>
      </c>
      <c r="C420" t="s">
        <v>32</v>
      </c>
      <c r="D420" t="s">
        <v>33</v>
      </c>
      <c r="E420">
        <v>10</v>
      </c>
      <c r="F420">
        <v>10</v>
      </c>
      <c r="G420">
        <v>10</v>
      </c>
      <c r="H420">
        <v>10</v>
      </c>
      <c r="I420">
        <v>10</v>
      </c>
      <c r="J420">
        <f t="shared" si="6"/>
        <v>10</v>
      </c>
    </row>
    <row r="421" spans="1:10" x14ac:dyDescent="0.25">
      <c r="A421" t="s">
        <v>92</v>
      </c>
      <c r="B421" t="s">
        <v>93</v>
      </c>
      <c r="C421" t="s">
        <v>34</v>
      </c>
      <c r="D421" t="s">
        <v>35</v>
      </c>
      <c r="E421">
        <v>92.857139587402301</v>
      </c>
      <c r="F421">
        <v>91.904762268066406</v>
      </c>
      <c r="G421">
        <v>92.380950927734403</v>
      </c>
      <c r="H421">
        <v>93.396224975585895</v>
      </c>
      <c r="I421">
        <v>94.811317443847699</v>
      </c>
      <c r="J421">
        <f t="shared" si="6"/>
        <v>94.811317443847699</v>
      </c>
    </row>
    <row r="422" spans="1:10" x14ac:dyDescent="0.25">
      <c r="A422" t="s">
        <v>92</v>
      </c>
      <c r="B422" t="s">
        <v>93</v>
      </c>
      <c r="C422" t="s">
        <v>36</v>
      </c>
      <c r="D422" t="s">
        <v>37</v>
      </c>
      <c r="J422">
        <f t="shared" si="6"/>
        <v>0</v>
      </c>
    </row>
    <row r="423" spans="1:10" x14ac:dyDescent="0.25">
      <c r="A423" t="s">
        <v>92</v>
      </c>
      <c r="B423" t="s">
        <v>93</v>
      </c>
      <c r="C423" t="s">
        <v>38</v>
      </c>
      <c r="D423" t="s">
        <v>39</v>
      </c>
      <c r="J423">
        <f t="shared" si="6"/>
        <v>0</v>
      </c>
    </row>
    <row r="424" spans="1:10" x14ac:dyDescent="0.25">
      <c r="A424" t="s">
        <v>92</v>
      </c>
      <c r="B424" t="s">
        <v>93</v>
      </c>
      <c r="C424" t="s">
        <v>40</v>
      </c>
      <c r="D424" t="s">
        <v>41</v>
      </c>
      <c r="E424">
        <v>91.987767000000005</v>
      </c>
      <c r="F424">
        <v>91.429300999999995</v>
      </c>
      <c r="G424">
        <v>91.673878000000002</v>
      </c>
      <c r="H424">
        <v>90.988348000000002</v>
      </c>
      <c r="J424">
        <f t="shared" si="6"/>
        <v>91.987767000000005</v>
      </c>
    </row>
    <row r="425" spans="1:10" x14ac:dyDescent="0.25">
      <c r="A425" t="s">
        <v>92</v>
      </c>
      <c r="B425" t="s">
        <v>93</v>
      </c>
      <c r="C425" t="s">
        <v>42</v>
      </c>
      <c r="D425" t="s">
        <v>43</v>
      </c>
      <c r="J425">
        <f t="shared" si="6"/>
        <v>0</v>
      </c>
    </row>
    <row r="426" spans="1:10" x14ac:dyDescent="0.25">
      <c r="A426" t="s">
        <v>92</v>
      </c>
      <c r="B426" t="s">
        <v>93</v>
      </c>
      <c r="C426" t="s">
        <v>44</v>
      </c>
      <c r="D426" t="s">
        <v>45</v>
      </c>
      <c r="E426">
        <v>1.5</v>
      </c>
      <c r="J426">
        <f t="shared" si="6"/>
        <v>1.5</v>
      </c>
    </row>
    <row r="427" spans="1:10" x14ac:dyDescent="0.25">
      <c r="A427" t="s">
        <v>94</v>
      </c>
      <c r="B427" t="s">
        <v>95</v>
      </c>
      <c r="C427" t="s">
        <v>11</v>
      </c>
      <c r="D427" t="s">
        <v>12</v>
      </c>
      <c r="G427">
        <v>87.06</v>
      </c>
      <c r="J427">
        <f t="shared" si="6"/>
        <v>87.06</v>
      </c>
    </row>
    <row r="428" spans="1:10" x14ac:dyDescent="0.25">
      <c r="A428" t="s">
        <v>94</v>
      </c>
      <c r="B428" t="s">
        <v>95</v>
      </c>
      <c r="C428" t="s">
        <v>14</v>
      </c>
      <c r="D428" t="s">
        <v>15</v>
      </c>
      <c r="G428">
        <v>86.62</v>
      </c>
      <c r="J428">
        <f t="shared" si="6"/>
        <v>86.62</v>
      </c>
    </row>
    <row r="429" spans="1:10" x14ac:dyDescent="0.25">
      <c r="A429" t="s">
        <v>94</v>
      </c>
      <c r="B429" t="s">
        <v>95</v>
      </c>
      <c r="C429" t="s">
        <v>16</v>
      </c>
      <c r="D429" t="s">
        <v>17</v>
      </c>
      <c r="G429">
        <v>87.56</v>
      </c>
      <c r="J429">
        <f t="shared" si="6"/>
        <v>87.56</v>
      </c>
    </row>
    <row r="430" spans="1:10" x14ac:dyDescent="0.25">
      <c r="A430" t="s">
        <v>94</v>
      </c>
      <c r="B430" t="s">
        <v>95</v>
      </c>
      <c r="C430" t="s">
        <v>18</v>
      </c>
      <c r="D430" t="s">
        <v>19</v>
      </c>
      <c r="G430">
        <v>86.43</v>
      </c>
      <c r="J430">
        <f t="shared" si="6"/>
        <v>86.43</v>
      </c>
    </row>
    <row r="431" spans="1:10" x14ac:dyDescent="0.25">
      <c r="A431" t="s">
        <v>94</v>
      </c>
      <c r="B431" t="s">
        <v>95</v>
      </c>
      <c r="C431" t="s">
        <v>20</v>
      </c>
      <c r="D431" t="s">
        <v>21</v>
      </c>
      <c r="G431">
        <v>90</v>
      </c>
      <c r="J431">
        <f t="shared" si="6"/>
        <v>90</v>
      </c>
    </row>
    <row r="432" spans="1:10" x14ac:dyDescent="0.25">
      <c r="A432" t="s">
        <v>94</v>
      </c>
      <c r="B432" t="s">
        <v>95</v>
      </c>
      <c r="C432" t="s">
        <v>22</v>
      </c>
      <c r="D432" t="s">
        <v>23</v>
      </c>
      <c r="G432">
        <v>68.849999999999994</v>
      </c>
      <c r="J432">
        <f t="shared" si="6"/>
        <v>68.849999999999994</v>
      </c>
    </row>
    <row r="433" spans="1:10" x14ac:dyDescent="0.25">
      <c r="A433" t="s">
        <v>94</v>
      </c>
      <c r="B433" t="s">
        <v>95</v>
      </c>
      <c r="C433" t="s">
        <v>24</v>
      </c>
      <c r="D433" t="s">
        <v>25</v>
      </c>
      <c r="J433">
        <f t="shared" si="6"/>
        <v>0</v>
      </c>
    </row>
    <row r="434" spans="1:10" x14ac:dyDescent="0.25">
      <c r="A434" t="s">
        <v>94</v>
      </c>
      <c r="B434" t="s">
        <v>95</v>
      </c>
      <c r="C434" t="s">
        <v>26</v>
      </c>
      <c r="D434" t="s">
        <v>27</v>
      </c>
      <c r="J434">
        <f t="shared" si="6"/>
        <v>0</v>
      </c>
    </row>
    <row r="435" spans="1:10" x14ac:dyDescent="0.25">
      <c r="A435" t="s">
        <v>94</v>
      </c>
      <c r="B435" t="s">
        <v>95</v>
      </c>
      <c r="C435" t="s">
        <v>28</v>
      </c>
      <c r="D435" t="s">
        <v>29</v>
      </c>
      <c r="E435">
        <v>8</v>
      </c>
      <c r="J435">
        <f t="shared" si="6"/>
        <v>8</v>
      </c>
    </row>
    <row r="436" spans="1:10" x14ac:dyDescent="0.25">
      <c r="A436" t="s">
        <v>94</v>
      </c>
      <c r="B436" t="s">
        <v>95</v>
      </c>
      <c r="C436" t="s">
        <v>30</v>
      </c>
      <c r="D436" t="s">
        <v>31</v>
      </c>
      <c r="J436">
        <f t="shared" si="6"/>
        <v>0</v>
      </c>
    </row>
    <row r="437" spans="1:10" x14ac:dyDescent="0.25">
      <c r="A437" t="s">
        <v>94</v>
      </c>
      <c r="B437" t="s">
        <v>95</v>
      </c>
      <c r="C437" t="s">
        <v>32</v>
      </c>
      <c r="D437" t="s">
        <v>33</v>
      </c>
      <c r="E437">
        <v>12</v>
      </c>
      <c r="F437">
        <v>12</v>
      </c>
      <c r="G437">
        <v>12</v>
      </c>
      <c r="H437">
        <v>12</v>
      </c>
      <c r="I437">
        <v>12</v>
      </c>
      <c r="J437">
        <f t="shared" si="6"/>
        <v>12</v>
      </c>
    </row>
    <row r="438" spans="1:10" x14ac:dyDescent="0.25">
      <c r="A438" t="s">
        <v>94</v>
      </c>
      <c r="B438" t="s">
        <v>95</v>
      </c>
      <c r="C438" t="s">
        <v>34</v>
      </c>
      <c r="D438" t="s">
        <v>35</v>
      </c>
      <c r="E438">
        <v>80.476188659667997</v>
      </c>
      <c r="F438">
        <v>82.857139587402301</v>
      </c>
      <c r="G438">
        <v>80.952377319335895</v>
      </c>
      <c r="H438">
        <v>81.132072448730497</v>
      </c>
      <c r="I438">
        <v>80.660377502441406</v>
      </c>
      <c r="J438">
        <f t="shared" si="6"/>
        <v>82.857139587402301</v>
      </c>
    </row>
    <row r="439" spans="1:10" x14ac:dyDescent="0.25">
      <c r="A439" t="s">
        <v>94</v>
      </c>
      <c r="B439" t="s">
        <v>95</v>
      </c>
      <c r="C439" t="s">
        <v>36</v>
      </c>
      <c r="D439" t="s">
        <v>37</v>
      </c>
      <c r="F439">
        <v>63.4004438871983</v>
      </c>
      <c r="J439">
        <f t="shared" si="6"/>
        <v>63.4004438871983</v>
      </c>
    </row>
    <row r="440" spans="1:10" x14ac:dyDescent="0.25">
      <c r="A440" t="s">
        <v>94</v>
      </c>
      <c r="B440" t="s">
        <v>95</v>
      </c>
      <c r="C440" t="s">
        <v>38</v>
      </c>
      <c r="D440" t="s">
        <v>39</v>
      </c>
      <c r="F440">
        <v>39.588046796341303</v>
      </c>
      <c r="J440">
        <f t="shared" si="6"/>
        <v>39.588046796341303</v>
      </c>
    </row>
    <row r="441" spans="1:10" x14ac:dyDescent="0.25">
      <c r="A441" t="s">
        <v>94</v>
      </c>
      <c r="B441" t="s">
        <v>95</v>
      </c>
      <c r="C441" t="s">
        <v>40</v>
      </c>
      <c r="D441" t="s">
        <v>41</v>
      </c>
      <c r="E441">
        <v>90.014143000000004</v>
      </c>
      <c r="F441">
        <v>89.795204999999996</v>
      </c>
      <c r="G441">
        <v>88.964715999999996</v>
      </c>
      <c r="H441">
        <v>89.209778</v>
      </c>
      <c r="J441">
        <f t="shared" si="6"/>
        <v>90.014143000000004</v>
      </c>
    </row>
    <row r="442" spans="1:10" x14ac:dyDescent="0.25">
      <c r="A442" t="s">
        <v>94</v>
      </c>
      <c r="B442" t="s">
        <v>95</v>
      </c>
      <c r="C442" t="s">
        <v>42</v>
      </c>
      <c r="D442" t="s">
        <v>43</v>
      </c>
      <c r="J442">
        <f t="shared" si="6"/>
        <v>0</v>
      </c>
    </row>
    <row r="443" spans="1:10" x14ac:dyDescent="0.25">
      <c r="A443" t="s">
        <v>94</v>
      </c>
      <c r="B443" t="s">
        <v>95</v>
      </c>
      <c r="C443" t="s">
        <v>44</v>
      </c>
      <c r="D443" t="s">
        <v>45</v>
      </c>
      <c r="E443">
        <v>4</v>
      </c>
      <c r="J443">
        <f t="shared" si="6"/>
        <v>4</v>
      </c>
    </row>
    <row r="444" spans="1:10" x14ac:dyDescent="0.25">
      <c r="A444" t="s">
        <v>96</v>
      </c>
      <c r="B444" t="s">
        <v>97</v>
      </c>
      <c r="C444" t="s">
        <v>11</v>
      </c>
      <c r="D444" t="s">
        <v>12</v>
      </c>
      <c r="G444">
        <v>88.71</v>
      </c>
      <c r="J444">
        <f t="shared" si="6"/>
        <v>88.71</v>
      </c>
    </row>
    <row r="445" spans="1:10" x14ac:dyDescent="0.25">
      <c r="A445" t="s">
        <v>96</v>
      </c>
      <c r="B445" t="s">
        <v>97</v>
      </c>
      <c r="C445" t="s">
        <v>14</v>
      </c>
      <c r="D445" t="s">
        <v>15</v>
      </c>
      <c r="G445">
        <v>87.34</v>
      </c>
      <c r="J445">
        <f t="shared" si="6"/>
        <v>87.34</v>
      </c>
    </row>
    <row r="446" spans="1:10" x14ac:dyDescent="0.25">
      <c r="A446" t="s">
        <v>96</v>
      </c>
      <c r="B446" t="s">
        <v>97</v>
      </c>
      <c r="C446" t="s">
        <v>16</v>
      </c>
      <c r="D446" t="s">
        <v>17</v>
      </c>
      <c r="G446">
        <v>89.92</v>
      </c>
      <c r="J446">
        <f t="shared" si="6"/>
        <v>89.92</v>
      </c>
    </row>
    <row r="447" spans="1:10" x14ac:dyDescent="0.25">
      <c r="A447" t="s">
        <v>96</v>
      </c>
      <c r="B447" t="s">
        <v>97</v>
      </c>
      <c r="C447" t="s">
        <v>18</v>
      </c>
      <c r="D447" t="s">
        <v>19</v>
      </c>
      <c r="G447">
        <v>83.08</v>
      </c>
      <c r="J447">
        <f t="shared" si="6"/>
        <v>83.08</v>
      </c>
    </row>
    <row r="448" spans="1:10" x14ac:dyDescent="0.25">
      <c r="A448" t="s">
        <v>96</v>
      </c>
      <c r="B448" t="s">
        <v>97</v>
      </c>
      <c r="C448" t="s">
        <v>20</v>
      </c>
      <c r="D448" t="s">
        <v>21</v>
      </c>
      <c r="G448">
        <v>88.47</v>
      </c>
      <c r="J448">
        <f t="shared" si="6"/>
        <v>88.47</v>
      </c>
    </row>
    <row r="449" spans="1:10" x14ac:dyDescent="0.25">
      <c r="A449" t="s">
        <v>96</v>
      </c>
      <c r="B449" t="s">
        <v>97</v>
      </c>
      <c r="C449" t="s">
        <v>22</v>
      </c>
      <c r="D449" t="s">
        <v>23</v>
      </c>
      <c r="G449">
        <v>83.02</v>
      </c>
      <c r="J449">
        <f t="shared" si="6"/>
        <v>83.02</v>
      </c>
    </row>
    <row r="450" spans="1:10" x14ac:dyDescent="0.25">
      <c r="A450" t="s">
        <v>96</v>
      </c>
      <c r="B450" t="s">
        <v>97</v>
      </c>
      <c r="C450" t="s">
        <v>24</v>
      </c>
      <c r="D450" t="s">
        <v>25</v>
      </c>
      <c r="J450">
        <f t="shared" si="6"/>
        <v>0</v>
      </c>
    </row>
    <row r="451" spans="1:10" x14ac:dyDescent="0.25">
      <c r="A451" t="s">
        <v>96</v>
      </c>
      <c r="B451" t="s">
        <v>97</v>
      </c>
      <c r="C451" t="s">
        <v>26</v>
      </c>
      <c r="D451" t="s">
        <v>27</v>
      </c>
      <c r="J451">
        <f t="shared" ref="J451:J514" si="7">MAX(E451:I451)</f>
        <v>0</v>
      </c>
    </row>
    <row r="452" spans="1:10" x14ac:dyDescent="0.25">
      <c r="A452" t="s">
        <v>96</v>
      </c>
      <c r="B452" t="s">
        <v>97</v>
      </c>
      <c r="C452" t="s">
        <v>28</v>
      </c>
      <c r="D452" t="s">
        <v>29</v>
      </c>
      <c r="E452">
        <v>10</v>
      </c>
      <c r="J452">
        <f t="shared" si="7"/>
        <v>10</v>
      </c>
    </row>
    <row r="453" spans="1:10" x14ac:dyDescent="0.25">
      <c r="A453" t="s">
        <v>96</v>
      </c>
      <c r="B453" t="s">
        <v>97</v>
      </c>
      <c r="C453" t="s">
        <v>30</v>
      </c>
      <c r="D453" t="s">
        <v>31</v>
      </c>
      <c r="J453">
        <f t="shared" si="7"/>
        <v>0</v>
      </c>
    </row>
    <row r="454" spans="1:10" x14ac:dyDescent="0.25">
      <c r="A454" t="s">
        <v>96</v>
      </c>
      <c r="B454" t="s">
        <v>97</v>
      </c>
      <c r="C454" t="s">
        <v>32</v>
      </c>
      <c r="D454" t="s">
        <v>33</v>
      </c>
      <c r="E454">
        <v>9</v>
      </c>
      <c r="F454">
        <v>9</v>
      </c>
      <c r="G454">
        <v>9</v>
      </c>
      <c r="H454">
        <v>9</v>
      </c>
      <c r="I454">
        <v>9</v>
      </c>
      <c r="J454">
        <f t="shared" si="7"/>
        <v>9</v>
      </c>
    </row>
    <row r="455" spans="1:10" x14ac:dyDescent="0.25">
      <c r="A455" t="s">
        <v>96</v>
      </c>
      <c r="B455" t="s">
        <v>97</v>
      </c>
      <c r="C455" t="s">
        <v>34</v>
      </c>
      <c r="D455" t="s">
        <v>35</v>
      </c>
      <c r="E455">
        <v>43.809524536132798</v>
      </c>
      <c r="F455">
        <v>52.857143402099602</v>
      </c>
      <c r="G455">
        <v>56.190475463867202</v>
      </c>
      <c r="H455">
        <v>55.188678741455099</v>
      </c>
      <c r="I455">
        <v>54.245281219482401</v>
      </c>
      <c r="J455">
        <f t="shared" si="7"/>
        <v>56.190475463867202</v>
      </c>
    </row>
    <row r="456" spans="1:10" x14ac:dyDescent="0.25">
      <c r="A456" t="s">
        <v>96</v>
      </c>
      <c r="B456" t="s">
        <v>97</v>
      </c>
      <c r="C456" t="s">
        <v>36</v>
      </c>
      <c r="D456" t="s">
        <v>37</v>
      </c>
      <c r="J456">
        <f t="shared" si="7"/>
        <v>0</v>
      </c>
    </row>
    <row r="457" spans="1:10" x14ac:dyDescent="0.25">
      <c r="A457" t="s">
        <v>96</v>
      </c>
      <c r="B457" t="s">
        <v>97</v>
      </c>
      <c r="C457" t="s">
        <v>38</v>
      </c>
      <c r="D457" t="s">
        <v>39</v>
      </c>
      <c r="J457">
        <f t="shared" si="7"/>
        <v>0</v>
      </c>
    </row>
    <row r="458" spans="1:10" x14ac:dyDescent="0.25">
      <c r="A458" t="s">
        <v>96</v>
      </c>
      <c r="B458" t="s">
        <v>97</v>
      </c>
      <c r="C458" t="s">
        <v>40</v>
      </c>
      <c r="D458" t="s">
        <v>41</v>
      </c>
      <c r="E458">
        <v>90.152664000000001</v>
      </c>
      <c r="F458">
        <v>90.394112000000007</v>
      </c>
      <c r="G458">
        <v>90.254380999999995</v>
      </c>
      <c r="H458">
        <v>90.559517</v>
      </c>
      <c r="J458">
        <f t="shared" si="7"/>
        <v>90.559517</v>
      </c>
    </row>
    <row r="459" spans="1:10" x14ac:dyDescent="0.25">
      <c r="A459" t="s">
        <v>96</v>
      </c>
      <c r="B459" t="s">
        <v>97</v>
      </c>
      <c r="C459" t="s">
        <v>42</v>
      </c>
      <c r="D459" t="s">
        <v>43</v>
      </c>
      <c r="J459">
        <f t="shared" si="7"/>
        <v>0</v>
      </c>
    </row>
    <row r="460" spans="1:10" x14ac:dyDescent="0.25">
      <c r="A460" t="s">
        <v>96</v>
      </c>
      <c r="B460" t="s">
        <v>97</v>
      </c>
      <c r="C460" t="s">
        <v>44</v>
      </c>
      <c r="D460" t="s">
        <v>45</v>
      </c>
      <c r="E460">
        <v>8.6</v>
      </c>
      <c r="J460">
        <f t="shared" si="7"/>
        <v>8.6</v>
      </c>
    </row>
    <row r="461" spans="1:10" x14ac:dyDescent="0.25">
      <c r="A461" t="s">
        <v>98</v>
      </c>
      <c r="B461" t="s">
        <v>99</v>
      </c>
      <c r="C461" t="s">
        <v>11</v>
      </c>
      <c r="D461" t="s">
        <v>12</v>
      </c>
      <c r="G461">
        <v>59.72</v>
      </c>
      <c r="J461">
        <f t="shared" si="7"/>
        <v>59.72</v>
      </c>
    </row>
    <row r="462" spans="1:10" x14ac:dyDescent="0.25">
      <c r="A462" t="s">
        <v>98</v>
      </c>
      <c r="B462" t="s">
        <v>99</v>
      </c>
      <c r="C462" t="s">
        <v>14</v>
      </c>
      <c r="D462" t="s">
        <v>15</v>
      </c>
      <c r="G462">
        <v>56.2</v>
      </c>
      <c r="J462">
        <f t="shared" si="7"/>
        <v>56.2</v>
      </c>
    </row>
    <row r="463" spans="1:10" x14ac:dyDescent="0.25">
      <c r="A463" t="s">
        <v>98</v>
      </c>
      <c r="B463" t="s">
        <v>99</v>
      </c>
      <c r="C463" t="s">
        <v>16</v>
      </c>
      <c r="D463" t="s">
        <v>17</v>
      </c>
      <c r="G463">
        <v>63.51</v>
      </c>
      <c r="J463">
        <f t="shared" si="7"/>
        <v>63.51</v>
      </c>
    </row>
    <row r="464" spans="1:10" x14ac:dyDescent="0.25">
      <c r="A464" t="s">
        <v>98</v>
      </c>
      <c r="B464" t="s">
        <v>99</v>
      </c>
      <c r="C464" t="s">
        <v>18</v>
      </c>
      <c r="D464" t="s">
        <v>19</v>
      </c>
      <c r="G464">
        <v>47.67</v>
      </c>
      <c r="J464">
        <f t="shared" si="7"/>
        <v>47.67</v>
      </c>
    </row>
    <row r="465" spans="1:10" x14ac:dyDescent="0.25">
      <c r="A465" t="s">
        <v>98</v>
      </c>
      <c r="B465" t="s">
        <v>99</v>
      </c>
      <c r="C465" t="s">
        <v>20</v>
      </c>
      <c r="D465" t="s">
        <v>21</v>
      </c>
      <c r="G465">
        <v>50</v>
      </c>
      <c r="J465">
        <f t="shared" si="7"/>
        <v>50</v>
      </c>
    </row>
    <row r="466" spans="1:10" x14ac:dyDescent="0.25">
      <c r="A466" t="s">
        <v>98</v>
      </c>
      <c r="B466" t="s">
        <v>99</v>
      </c>
      <c r="C466" t="s">
        <v>22</v>
      </c>
      <c r="D466" t="s">
        <v>23</v>
      </c>
      <c r="G466">
        <v>48.08</v>
      </c>
      <c r="J466">
        <f t="shared" si="7"/>
        <v>48.08</v>
      </c>
    </row>
    <row r="467" spans="1:10" x14ac:dyDescent="0.25">
      <c r="A467" t="s">
        <v>98</v>
      </c>
      <c r="B467" t="s">
        <v>99</v>
      </c>
      <c r="C467" t="s">
        <v>24</v>
      </c>
      <c r="D467" t="s">
        <v>25</v>
      </c>
      <c r="J467">
        <f t="shared" si="7"/>
        <v>0</v>
      </c>
    </row>
    <row r="468" spans="1:10" x14ac:dyDescent="0.25">
      <c r="A468" t="s">
        <v>98</v>
      </c>
      <c r="B468" t="s">
        <v>99</v>
      </c>
      <c r="C468" t="s">
        <v>26</v>
      </c>
      <c r="D468" t="s">
        <v>27</v>
      </c>
      <c r="I468">
        <v>2.7</v>
      </c>
      <c r="J468">
        <f t="shared" si="7"/>
        <v>2.7</v>
      </c>
    </row>
    <row r="469" spans="1:10" x14ac:dyDescent="0.25">
      <c r="A469" t="s">
        <v>98</v>
      </c>
      <c r="B469" t="s">
        <v>99</v>
      </c>
      <c r="C469" t="s">
        <v>28</v>
      </c>
      <c r="D469" t="s">
        <v>29</v>
      </c>
      <c r="E469">
        <v>9</v>
      </c>
      <c r="J469">
        <f t="shared" si="7"/>
        <v>9</v>
      </c>
    </row>
    <row r="470" spans="1:10" x14ac:dyDescent="0.25">
      <c r="A470" t="s">
        <v>98</v>
      </c>
      <c r="B470" t="s">
        <v>99</v>
      </c>
      <c r="C470" t="s">
        <v>30</v>
      </c>
      <c r="D470" t="s">
        <v>31</v>
      </c>
      <c r="E470">
        <v>72.703878577082193</v>
      </c>
      <c r="F470">
        <v>91.156606944973603</v>
      </c>
      <c r="G470">
        <v>80.366651617408806</v>
      </c>
      <c r="H470">
        <v>70.140184011491399</v>
      </c>
      <c r="J470">
        <f t="shared" si="7"/>
        <v>91.156606944973603</v>
      </c>
    </row>
    <row r="471" spans="1:10" x14ac:dyDescent="0.25">
      <c r="A471" t="s">
        <v>98</v>
      </c>
      <c r="B471" t="s">
        <v>99</v>
      </c>
      <c r="C471" t="s">
        <v>32</v>
      </c>
      <c r="D471" t="s">
        <v>33</v>
      </c>
      <c r="E471">
        <v>12</v>
      </c>
      <c r="F471">
        <v>12</v>
      </c>
      <c r="G471">
        <v>12</v>
      </c>
      <c r="H471">
        <v>12</v>
      </c>
      <c r="I471">
        <v>12</v>
      </c>
      <c r="J471">
        <f t="shared" si="7"/>
        <v>12</v>
      </c>
    </row>
    <row r="472" spans="1:10" x14ac:dyDescent="0.25">
      <c r="A472" t="s">
        <v>98</v>
      </c>
      <c r="B472" t="s">
        <v>99</v>
      </c>
      <c r="C472" t="s">
        <v>34</v>
      </c>
      <c r="D472" t="s">
        <v>35</v>
      </c>
      <c r="E472">
        <v>46.190475463867202</v>
      </c>
      <c r="F472">
        <v>45.714286804199197</v>
      </c>
      <c r="G472">
        <v>41.904762268066399</v>
      </c>
      <c r="H472">
        <v>41.509433746337898</v>
      </c>
      <c r="I472">
        <v>44.811321258544901</v>
      </c>
      <c r="J472">
        <f t="shared" si="7"/>
        <v>46.190475463867202</v>
      </c>
    </row>
    <row r="473" spans="1:10" x14ac:dyDescent="0.25">
      <c r="A473" t="s">
        <v>98</v>
      </c>
      <c r="B473" t="s">
        <v>99</v>
      </c>
      <c r="C473" t="s">
        <v>36</v>
      </c>
      <c r="D473" t="s">
        <v>37</v>
      </c>
      <c r="E473">
        <v>21.237227253477698</v>
      </c>
      <c r="F473">
        <v>20.908377855017299</v>
      </c>
      <c r="J473">
        <f t="shared" si="7"/>
        <v>21.237227253477698</v>
      </c>
    </row>
    <row r="474" spans="1:10" x14ac:dyDescent="0.25">
      <c r="A474" t="s">
        <v>98</v>
      </c>
      <c r="B474" t="s">
        <v>99</v>
      </c>
      <c r="C474" t="s">
        <v>38</v>
      </c>
      <c r="D474" t="s">
        <v>39</v>
      </c>
      <c r="E474">
        <v>0.57035338692373205</v>
      </c>
      <c r="F474">
        <v>0.51034614872206097</v>
      </c>
      <c r="J474">
        <f t="shared" si="7"/>
        <v>0.57035338692373205</v>
      </c>
    </row>
    <row r="475" spans="1:10" x14ac:dyDescent="0.25">
      <c r="A475" t="s">
        <v>98</v>
      </c>
      <c r="B475" t="s">
        <v>99</v>
      </c>
      <c r="C475" t="s">
        <v>40</v>
      </c>
      <c r="D475" t="s">
        <v>41</v>
      </c>
      <c r="E475">
        <v>88.044751000000005</v>
      </c>
      <c r="F475">
        <v>85.828337000000005</v>
      </c>
      <c r="G475">
        <v>82.277355999999997</v>
      </c>
      <c r="H475">
        <v>87.721885</v>
      </c>
      <c r="J475">
        <f t="shared" si="7"/>
        <v>88.044751000000005</v>
      </c>
    </row>
    <row r="476" spans="1:10" x14ac:dyDescent="0.25">
      <c r="A476" t="s">
        <v>98</v>
      </c>
      <c r="B476" t="s">
        <v>99</v>
      </c>
      <c r="C476" t="s">
        <v>42</v>
      </c>
      <c r="D476" t="s">
        <v>43</v>
      </c>
      <c r="J476">
        <f t="shared" si="7"/>
        <v>0</v>
      </c>
    </row>
    <row r="477" spans="1:10" x14ac:dyDescent="0.25">
      <c r="A477" t="s">
        <v>98</v>
      </c>
      <c r="B477" t="s">
        <v>99</v>
      </c>
      <c r="C477" t="s">
        <v>44</v>
      </c>
      <c r="D477" t="s">
        <v>45</v>
      </c>
      <c r="E477">
        <v>10</v>
      </c>
      <c r="J477">
        <f t="shared" si="7"/>
        <v>10</v>
      </c>
    </row>
    <row r="478" spans="1:10" x14ac:dyDescent="0.25">
      <c r="A478" t="s">
        <v>100</v>
      </c>
      <c r="B478" t="s">
        <v>101</v>
      </c>
      <c r="C478" t="s">
        <v>11</v>
      </c>
      <c r="D478" t="s">
        <v>12</v>
      </c>
      <c r="G478">
        <v>68.489999999999995</v>
      </c>
      <c r="J478">
        <f t="shared" si="7"/>
        <v>68.489999999999995</v>
      </c>
    </row>
    <row r="479" spans="1:10" x14ac:dyDescent="0.25">
      <c r="A479" t="s">
        <v>100</v>
      </c>
      <c r="B479" t="s">
        <v>101</v>
      </c>
      <c r="C479" t="s">
        <v>14</v>
      </c>
      <c r="D479" t="s">
        <v>15</v>
      </c>
      <c r="G479">
        <v>61.08</v>
      </c>
      <c r="J479">
        <f t="shared" si="7"/>
        <v>61.08</v>
      </c>
    </row>
    <row r="480" spans="1:10" x14ac:dyDescent="0.25">
      <c r="A480" t="s">
        <v>100</v>
      </c>
      <c r="B480" t="s">
        <v>101</v>
      </c>
      <c r="C480" t="s">
        <v>16</v>
      </c>
      <c r="D480" t="s">
        <v>17</v>
      </c>
      <c r="G480">
        <v>76.34</v>
      </c>
      <c r="J480">
        <f t="shared" si="7"/>
        <v>76.34</v>
      </c>
    </row>
    <row r="481" spans="1:10" x14ac:dyDescent="0.25">
      <c r="A481" t="s">
        <v>100</v>
      </c>
      <c r="B481" t="s">
        <v>101</v>
      </c>
      <c r="C481" t="s">
        <v>18</v>
      </c>
      <c r="D481" t="s">
        <v>19</v>
      </c>
      <c r="G481">
        <v>57.23</v>
      </c>
      <c r="J481">
        <f t="shared" si="7"/>
        <v>57.23</v>
      </c>
    </row>
    <row r="482" spans="1:10" x14ac:dyDescent="0.25">
      <c r="A482" t="s">
        <v>100</v>
      </c>
      <c r="B482" t="s">
        <v>101</v>
      </c>
      <c r="C482" t="s">
        <v>20</v>
      </c>
      <c r="D482" t="s">
        <v>21</v>
      </c>
      <c r="G482">
        <v>77.040000000000006</v>
      </c>
      <c r="J482">
        <f t="shared" si="7"/>
        <v>77.040000000000006</v>
      </c>
    </row>
    <row r="483" spans="1:10" x14ac:dyDescent="0.25">
      <c r="A483" t="s">
        <v>100</v>
      </c>
      <c r="B483" t="s">
        <v>101</v>
      </c>
      <c r="C483" t="s">
        <v>22</v>
      </c>
      <c r="D483" t="s">
        <v>23</v>
      </c>
      <c r="G483">
        <v>51.75</v>
      </c>
      <c r="J483">
        <f t="shared" si="7"/>
        <v>51.75</v>
      </c>
    </row>
    <row r="484" spans="1:10" x14ac:dyDescent="0.25">
      <c r="A484" t="s">
        <v>100</v>
      </c>
      <c r="B484" t="s">
        <v>101</v>
      </c>
      <c r="C484" t="s">
        <v>24</v>
      </c>
      <c r="D484" t="s">
        <v>25</v>
      </c>
      <c r="J484">
        <f t="shared" si="7"/>
        <v>0</v>
      </c>
    </row>
    <row r="485" spans="1:10" x14ac:dyDescent="0.25">
      <c r="A485" t="s">
        <v>100</v>
      </c>
      <c r="B485" t="s">
        <v>101</v>
      </c>
      <c r="C485" t="s">
        <v>26</v>
      </c>
      <c r="D485" t="s">
        <v>27</v>
      </c>
      <c r="I485">
        <v>5.6</v>
      </c>
      <c r="J485">
        <f t="shared" si="7"/>
        <v>5.6</v>
      </c>
    </row>
    <row r="486" spans="1:10" x14ac:dyDescent="0.25">
      <c r="A486" t="s">
        <v>100</v>
      </c>
      <c r="B486" t="s">
        <v>101</v>
      </c>
      <c r="C486" t="s">
        <v>28</v>
      </c>
      <c r="D486" t="s">
        <v>29</v>
      </c>
      <c r="E486">
        <v>5</v>
      </c>
      <c r="J486">
        <f t="shared" si="7"/>
        <v>5</v>
      </c>
    </row>
    <row r="487" spans="1:10" x14ac:dyDescent="0.25">
      <c r="A487" t="s">
        <v>100</v>
      </c>
      <c r="B487" t="s">
        <v>101</v>
      </c>
      <c r="C487" t="s">
        <v>30</v>
      </c>
      <c r="D487" t="s">
        <v>31</v>
      </c>
      <c r="H487">
        <v>71.111576412909301</v>
      </c>
      <c r="J487">
        <f t="shared" si="7"/>
        <v>71.111576412909301</v>
      </c>
    </row>
    <row r="488" spans="1:10" x14ac:dyDescent="0.25">
      <c r="A488" t="s">
        <v>100</v>
      </c>
      <c r="B488" t="s">
        <v>101</v>
      </c>
      <c r="C488" t="s">
        <v>32</v>
      </c>
      <c r="D488" t="s">
        <v>33</v>
      </c>
      <c r="E488">
        <v>13</v>
      </c>
      <c r="F488">
        <v>13</v>
      </c>
      <c r="G488">
        <v>13</v>
      </c>
      <c r="H488">
        <v>13</v>
      </c>
      <c r="I488">
        <v>13</v>
      </c>
      <c r="J488">
        <f t="shared" si="7"/>
        <v>13</v>
      </c>
    </row>
    <row r="489" spans="1:10" x14ac:dyDescent="0.25">
      <c r="A489" t="s">
        <v>100</v>
      </c>
      <c r="B489" t="s">
        <v>101</v>
      </c>
      <c r="C489" t="s">
        <v>34</v>
      </c>
      <c r="D489" t="s">
        <v>35</v>
      </c>
      <c r="E489">
        <v>71.904762268066406</v>
      </c>
      <c r="F489">
        <v>74.285713195800795</v>
      </c>
      <c r="G489">
        <v>66.666664123535199</v>
      </c>
      <c r="H489">
        <v>66.981132507324205</v>
      </c>
      <c r="I489">
        <v>72.641510009765597</v>
      </c>
      <c r="J489">
        <f t="shared" si="7"/>
        <v>74.285713195800795</v>
      </c>
    </row>
    <row r="490" spans="1:10" x14ac:dyDescent="0.25">
      <c r="A490" t="s">
        <v>100</v>
      </c>
      <c r="B490" t="s">
        <v>101</v>
      </c>
      <c r="C490" t="s">
        <v>36</v>
      </c>
      <c r="D490" t="s">
        <v>37</v>
      </c>
      <c r="E490">
        <v>54.179787980318402</v>
      </c>
      <c r="F490">
        <v>68.879066876543803</v>
      </c>
      <c r="J490">
        <f t="shared" si="7"/>
        <v>68.879066876543803</v>
      </c>
    </row>
    <row r="491" spans="1:10" x14ac:dyDescent="0.25">
      <c r="A491" t="s">
        <v>100</v>
      </c>
      <c r="B491" t="s">
        <v>101</v>
      </c>
      <c r="C491" t="s">
        <v>38</v>
      </c>
      <c r="D491" t="s">
        <v>39</v>
      </c>
      <c r="E491">
        <v>6.9619393222924302</v>
      </c>
      <c r="F491">
        <v>7.2438669038614796</v>
      </c>
      <c r="J491">
        <f t="shared" si="7"/>
        <v>7.2438669038614796</v>
      </c>
    </row>
    <row r="492" spans="1:10" x14ac:dyDescent="0.25">
      <c r="A492" t="s">
        <v>100</v>
      </c>
      <c r="B492" t="s">
        <v>101</v>
      </c>
      <c r="C492" t="s">
        <v>40</v>
      </c>
      <c r="D492" t="s">
        <v>41</v>
      </c>
      <c r="E492">
        <v>90.339671999999993</v>
      </c>
      <c r="F492">
        <v>89.650944999999993</v>
      </c>
      <c r="G492">
        <v>87.697734999999994</v>
      </c>
      <c r="H492">
        <v>89.994337999999999</v>
      </c>
      <c r="J492">
        <f t="shared" si="7"/>
        <v>90.339671999999993</v>
      </c>
    </row>
    <row r="493" spans="1:10" x14ac:dyDescent="0.25">
      <c r="A493" t="s">
        <v>100</v>
      </c>
      <c r="B493" t="s">
        <v>101</v>
      </c>
      <c r="C493" t="s">
        <v>42</v>
      </c>
      <c r="D493" t="s">
        <v>43</v>
      </c>
      <c r="J493">
        <f t="shared" si="7"/>
        <v>0</v>
      </c>
    </row>
    <row r="494" spans="1:10" x14ac:dyDescent="0.25">
      <c r="A494" t="s">
        <v>100</v>
      </c>
      <c r="B494" t="s">
        <v>101</v>
      </c>
      <c r="C494" t="s">
        <v>44</v>
      </c>
      <c r="D494" t="s">
        <v>45</v>
      </c>
      <c r="E494">
        <v>23</v>
      </c>
      <c r="J494">
        <f t="shared" si="7"/>
        <v>23</v>
      </c>
    </row>
    <row r="495" spans="1:10" x14ac:dyDescent="0.25">
      <c r="A495" t="s">
        <v>102</v>
      </c>
      <c r="B495" t="s">
        <v>103</v>
      </c>
      <c r="C495" t="s">
        <v>11</v>
      </c>
      <c r="D495" t="s">
        <v>12</v>
      </c>
      <c r="G495">
        <v>50.76</v>
      </c>
      <c r="J495">
        <f t="shared" si="7"/>
        <v>50.76</v>
      </c>
    </row>
    <row r="496" spans="1:10" x14ac:dyDescent="0.25">
      <c r="A496" t="s">
        <v>102</v>
      </c>
      <c r="B496" t="s">
        <v>103</v>
      </c>
      <c r="C496" t="s">
        <v>14</v>
      </c>
      <c r="D496" t="s">
        <v>15</v>
      </c>
      <c r="G496">
        <v>37.44</v>
      </c>
      <c r="J496">
        <f t="shared" si="7"/>
        <v>37.44</v>
      </c>
    </row>
    <row r="497" spans="1:10" x14ac:dyDescent="0.25">
      <c r="A497" t="s">
        <v>102</v>
      </c>
      <c r="B497" t="s">
        <v>103</v>
      </c>
      <c r="C497" t="s">
        <v>16</v>
      </c>
      <c r="D497" t="s">
        <v>17</v>
      </c>
      <c r="G497">
        <v>64.010000000000005</v>
      </c>
      <c r="J497">
        <f t="shared" si="7"/>
        <v>64.010000000000005</v>
      </c>
    </row>
    <row r="498" spans="1:10" x14ac:dyDescent="0.25">
      <c r="A498" t="s">
        <v>102</v>
      </c>
      <c r="B498" t="s">
        <v>103</v>
      </c>
      <c r="C498" t="s">
        <v>18</v>
      </c>
      <c r="D498" t="s">
        <v>19</v>
      </c>
      <c r="G498">
        <v>44.01</v>
      </c>
      <c r="J498">
        <f t="shared" si="7"/>
        <v>44.01</v>
      </c>
    </row>
    <row r="499" spans="1:10" x14ac:dyDescent="0.25">
      <c r="A499" t="s">
        <v>102</v>
      </c>
      <c r="B499" t="s">
        <v>103</v>
      </c>
      <c r="C499" t="s">
        <v>20</v>
      </c>
      <c r="D499" t="s">
        <v>21</v>
      </c>
      <c r="G499">
        <v>39.979999999999997</v>
      </c>
      <c r="J499">
        <f t="shared" si="7"/>
        <v>39.979999999999997</v>
      </c>
    </row>
    <row r="500" spans="1:10" x14ac:dyDescent="0.25">
      <c r="A500" t="s">
        <v>102</v>
      </c>
      <c r="B500" t="s">
        <v>103</v>
      </c>
      <c r="C500" t="s">
        <v>22</v>
      </c>
      <c r="D500" t="s">
        <v>23</v>
      </c>
      <c r="G500">
        <v>43.99</v>
      </c>
      <c r="J500">
        <f t="shared" si="7"/>
        <v>43.99</v>
      </c>
    </row>
    <row r="501" spans="1:10" x14ac:dyDescent="0.25">
      <c r="A501" t="s">
        <v>102</v>
      </c>
      <c r="B501" t="s">
        <v>103</v>
      </c>
      <c r="C501" t="s">
        <v>24</v>
      </c>
      <c r="D501" t="s">
        <v>25</v>
      </c>
      <c r="J501">
        <f t="shared" si="7"/>
        <v>0</v>
      </c>
    </row>
    <row r="502" spans="1:10" x14ac:dyDescent="0.25">
      <c r="A502" t="s">
        <v>102</v>
      </c>
      <c r="B502" t="s">
        <v>103</v>
      </c>
      <c r="C502" t="s">
        <v>26</v>
      </c>
      <c r="D502" t="s">
        <v>27</v>
      </c>
      <c r="I502">
        <v>19.8</v>
      </c>
      <c r="J502">
        <f t="shared" si="7"/>
        <v>19.8</v>
      </c>
    </row>
    <row r="503" spans="1:10" x14ac:dyDescent="0.25">
      <c r="A503" t="s">
        <v>102</v>
      </c>
      <c r="B503" t="s">
        <v>103</v>
      </c>
      <c r="C503" t="s">
        <v>28</v>
      </c>
      <c r="D503" t="s">
        <v>29</v>
      </c>
      <c r="E503">
        <v>7</v>
      </c>
      <c r="J503">
        <f t="shared" si="7"/>
        <v>7</v>
      </c>
    </row>
    <row r="504" spans="1:10" x14ac:dyDescent="0.25">
      <c r="A504" t="s">
        <v>102</v>
      </c>
      <c r="B504" t="s">
        <v>103</v>
      </c>
      <c r="C504" t="s">
        <v>30</v>
      </c>
      <c r="D504" t="s">
        <v>31</v>
      </c>
      <c r="J504">
        <f t="shared" si="7"/>
        <v>0</v>
      </c>
    </row>
    <row r="505" spans="1:10" x14ac:dyDescent="0.25">
      <c r="A505" t="s">
        <v>102</v>
      </c>
      <c r="B505" t="s">
        <v>103</v>
      </c>
      <c r="C505" t="s">
        <v>32</v>
      </c>
      <c r="D505" t="s">
        <v>33</v>
      </c>
      <c r="E505">
        <v>10</v>
      </c>
      <c r="F505">
        <v>10</v>
      </c>
      <c r="G505">
        <v>10</v>
      </c>
      <c r="H505">
        <v>10</v>
      </c>
      <c r="I505">
        <v>10</v>
      </c>
      <c r="J505">
        <f t="shared" si="7"/>
        <v>10</v>
      </c>
    </row>
    <row r="506" spans="1:10" x14ac:dyDescent="0.25">
      <c r="A506" t="s">
        <v>102</v>
      </c>
      <c r="B506" t="s">
        <v>103</v>
      </c>
      <c r="C506" t="s">
        <v>34</v>
      </c>
      <c r="D506" t="s">
        <v>35</v>
      </c>
      <c r="E506">
        <v>32.380950927734403</v>
      </c>
      <c r="F506">
        <v>32.380950927734403</v>
      </c>
      <c r="G506">
        <v>40</v>
      </c>
      <c r="H506">
        <v>42.924530029296903</v>
      </c>
      <c r="I506">
        <v>44.339622497558601</v>
      </c>
      <c r="J506">
        <f t="shared" si="7"/>
        <v>44.339622497558601</v>
      </c>
    </row>
    <row r="507" spans="1:10" x14ac:dyDescent="0.25">
      <c r="A507" t="s">
        <v>102</v>
      </c>
      <c r="B507" t="s">
        <v>103</v>
      </c>
      <c r="C507" t="s">
        <v>36</v>
      </c>
      <c r="D507" t="s">
        <v>37</v>
      </c>
      <c r="J507">
        <f t="shared" si="7"/>
        <v>0</v>
      </c>
    </row>
    <row r="508" spans="1:10" x14ac:dyDescent="0.25">
      <c r="A508" t="s">
        <v>102</v>
      </c>
      <c r="B508" t="s">
        <v>103</v>
      </c>
      <c r="C508" t="s">
        <v>38</v>
      </c>
      <c r="D508" t="s">
        <v>39</v>
      </c>
      <c r="J508">
        <f t="shared" si="7"/>
        <v>0</v>
      </c>
    </row>
    <row r="509" spans="1:10" x14ac:dyDescent="0.25">
      <c r="A509" t="s">
        <v>102</v>
      </c>
      <c r="B509" t="s">
        <v>103</v>
      </c>
      <c r="C509" t="s">
        <v>40</v>
      </c>
      <c r="D509" t="s">
        <v>41</v>
      </c>
      <c r="E509">
        <v>57.192866000000002</v>
      </c>
      <c r="F509">
        <v>56.669364999999999</v>
      </c>
      <c r="G509">
        <v>55.988821000000002</v>
      </c>
      <c r="H509">
        <v>59.718358000000002</v>
      </c>
      <c r="J509">
        <f t="shared" si="7"/>
        <v>59.718358000000002</v>
      </c>
    </row>
    <row r="510" spans="1:10" x14ac:dyDescent="0.25">
      <c r="A510" t="s">
        <v>102</v>
      </c>
      <c r="B510" t="s">
        <v>103</v>
      </c>
      <c r="C510" t="s">
        <v>42</v>
      </c>
      <c r="D510" t="s">
        <v>43</v>
      </c>
      <c r="J510">
        <f t="shared" si="7"/>
        <v>0</v>
      </c>
    </row>
    <row r="511" spans="1:10" x14ac:dyDescent="0.25">
      <c r="A511" t="s">
        <v>102</v>
      </c>
      <c r="B511" t="s">
        <v>103</v>
      </c>
      <c r="C511" t="s">
        <v>44</v>
      </c>
      <c r="D511" t="s">
        <v>45</v>
      </c>
      <c r="E511">
        <v>6</v>
      </c>
      <c r="J511">
        <f t="shared" si="7"/>
        <v>6</v>
      </c>
    </row>
    <row r="512" spans="1:10" x14ac:dyDescent="0.25">
      <c r="A512" t="s">
        <v>104</v>
      </c>
      <c r="B512" t="s">
        <v>105</v>
      </c>
      <c r="C512" t="s">
        <v>11</v>
      </c>
      <c r="D512" t="s">
        <v>12</v>
      </c>
      <c r="G512">
        <v>91.8</v>
      </c>
      <c r="J512">
        <f t="shared" si="7"/>
        <v>91.8</v>
      </c>
    </row>
    <row r="513" spans="1:10" x14ac:dyDescent="0.25">
      <c r="A513" t="s">
        <v>104</v>
      </c>
      <c r="B513" t="s">
        <v>105</v>
      </c>
      <c r="C513" t="s">
        <v>14</v>
      </c>
      <c r="D513" t="s">
        <v>15</v>
      </c>
      <c r="G513">
        <v>89.96</v>
      </c>
      <c r="J513">
        <f t="shared" si="7"/>
        <v>89.96</v>
      </c>
    </row>
    <row r="514" spans="1:10" x14ac:dyDescent="0.25">
      <c r="A514" t="s">
        <v>104</v>
      </c>
      <c r="B514" t="s">
        <v>105</v>
      </c>
      <c r="C514" t="s">
        <v>16</v>
      </c>
      <c r="D514" t="s">
        <v>17</v>
      </c>
      <c r="G514">
        <v>93.93</v>
      </c>
      <c r="J514">
        <f t="shared" si="7"/>
        <v>93.93</v>
      </c>
    </row>
    <row r="515" spans="1:10" x14ac:dyDescent="0.25">
      <c r="A515" t="s">
        <v>104</v>
      </c>
      <c r="B515" t="s">
        <v>105</v>
      </c>
      <c r="C515" t="s">
        <v>18</v>
      </c>
      <c r="D515" t="s">
        <v>19</v>
      </c>
      <c r="G515">
        <v>84.46</v>
      </c>
      <c r="J515">
        <f t="shared" ref="J515:J578" si="8">MAX(E515:I515)</f>
        <v>84.46</v>
      </c>
    </row>
    <row r="516" spans="1:10" x14ac:dyDescent="0.25">
      <c r="A516" t="s">
        <v>104</v>
      </c>
      <c r="B516" t="s">
        <v>105</v>
      </c>
      <c r="C516" t="s">
        <v>20</v>
      </c>
      <c r="D516" t="s">
        <v>21</v>
      </c>
      <c r="G516">
        <v>76.11</v>
      </c>
      <c r="J516">
        <f t="shared" si="8"/>
        <v>76.11</v>
      </c>
    </row>
    <row r="517" spans="1:10" x14ac:dyDescent="0.25">
      <c r="A517" t="s">
        <v>104</v>
      </c>
      <c r="B517" t="s">
        <v>105</v>
      </c>
      <c r="C517" t="s">
        <v>22</v>
      </c>
      <c r="D517" t="s">
        <v>23</v>
      </c>
      <c r="G517">
        <v>80.25</v>
      </c>
      <c r="J517">
        <f t="shared" si="8"/>
        <v>80.25</v>
      </c>
    </row>
    <row r="518" spans="1:10" x14ac:dyDescent="0.25">
      <c r="A518" t="s">
        <v>104</v>
      </c>
      <c r="B518" t="s">
        <v>105</v>
      </c>
      <c r="C518" t="s">
        <v>24</v>
      </c>
      <c r="D518" t="s">
        <v>25</v>
      </c>
      <c r="J518">
        <f t="shared" si="8"/>
        <v>0</v>
      </c>
    </row>
    <row r="519" spans="1:10" x14ac:dyDescent="0.25">
      <c r="A519" t="s">
        <v>104</v>
      </c>
      <c r="B519" t="s">
        <v>105</v>
      </c>
      <c r="C519" t="s">
        <v>26</v>
      </c>
      <c r="D519" t="s">
        <v>27</v>
      </c>
      <c r="E519">
        <v>10.1</v>
      </c>
      <c r="I519">
        <v>6.8</v>
      </c>
      <c r="J519">
        <f t="shared" si="8"/>
        <v>10.1</v>
      </c>
    </row>
    <row r="520" spans="1:10" x14ac:dyDescent="0.25">
      <c r="A520" t="s">
        <v>104</v>
      </c>
      <c r="B520" t="s">
        <v>105</v>
      </c>
      <c r="C520" t="s">
        <v>28</v>
      </c>
      <c r="D520" t="s">
        <v>29</v>
      </c>
      <c r="E520">
        <v>5</v>
      </c>
      <c r="J520">
        <f t="shared" si="8"/>
        <v>5</v>
      </c>
    </row>
    <row r="521" spans="1:10" x14ac:dyDescent="0.25">
      <c r="A521" t="s">
        <v>104</v>
      </c>
      <c r="B521" t="s">
        <v>105</v>
      </c>
      <c r="C521" t="s">
        <v>30</v>
      </c>
      <c r="D521" t="s">
        <v>31</v>
      </c>
      <c r="E521">
        <v>81.682517207419394</v>
      </c>
      <c r="F521">
        <v>98.4395620234109</v>
      </c>
      <c r="G521">
        <v>91.104015858545594</v>
      </c>
      <c r="H521">
        <v>83.000255443071694</v>
      </c>
      <c r="J521">
        <f t="shared" si="8"/>
        <v>98.4395620234109</v>
      </c>
    </row>
    <row r="522" spans="1:10" x14ac:dyDescent="0.25">
      <c r="A522" t="s">
        <v>104</v>
      </c>
      <c r="B522" t="s">
        <v>105</v>
      </c>
      <c r="C522" t="s">
        <v>32</v>
      </c>
      <c r="D522" t="s">
        <v>33</v>
      </c>
      <c r="E522">
        <v>8</v>
      </c>
      <c r="F522">
        <v>8</v>
      </c>
      <c r="G522">
        <v>8</v>
      </c>
      <c r="H522">
        <v>8</v>
      </c>
      <c r="I522">
        <v>8</v>
      </c>
      <c r="J522">
        <f t="shared" si="8"/>
        <v>8</v>
      </c>
    </row>
    <row r="523" spans="1:10" x14ac:dyDescent="0.25">
      <c r="A523" t="s">
        <v>104</v>
      </c>
      <c r="B523" t="s">
        <v>105</v>
      </c>
      <c r="C523" t="s">
        <v>34</v>
      </c>
      <c r="D523" t="s">
        <v>35</v>
      </c>
      <c r="E523">
        <v>58.095237731933601</v>
      </c>
      <c r="F523">
        <v>59.523811340332003</v>
      </c>
      <c r="G523">
        <v>56.666667938232401</v>
      </c>
      <c r="H523">
        <v>59.9056587219238</v>
      </c>
      <c r="I523">
        <v>59.9056587219238</v>
      </c>
      <c r="J523">
        <f t="shared" si="8"/>
        <v>59.9056587219238</v>
      </c>
    </row>
    <row r="524" spans="1:10" x14ac:dyDescent="0.25">
      <c r="A524" t="s">
        <v>104</v>
      </c>
      <c r="B524" t="s">
        <v>105</v>
      </c>
      <c r="C524" t="s">
        <v>36</v>
      </c>
      <c r="D524" t="s">
        <v>37</v>
      </c>
      <c r="J524">
        <f t="shared" si="8"/>
        <v>0</v>
      </c>
    </row>
    <row r="525" spans="1:10" x14ac:dyDescent="0.25">
      <c r="A525" t="s">
        <v>104</v>
      </c>
      <c r="B525" t="s">
        <v>105</v>
      </c>
      <c r="C525" t="s">
        <v>38</v>
      </c>
      <c r="D525" t="s">
        <v>39</v>
      </c>
      <c r="J525">
        <f t="shared" si="8"/>
        <v>0</v>
      </c>
    </row>
    <row r="526" spans="1:10" x14ac:dyDescent="0.25">
      <c r="A526" t="s">
        <v>104</v>
      </c>
      <c r="B526" t="s">
        <v>105</v>
      </c>
      <c r="C526" t="s">
        <v>40</v>
      </c>
      <c r="D526" t="s">
        <v>41</v>
      </c>
      <c r="E526">
        <v>91.108317</v>
      </c>
      <c r="F526">
        <v>90.836464000000007</v>
      </c>
      <c r="G526">
        <v>89.532981000000007</v>
      </c>
      <c r="H526">
        <v>91.201190999999994</v>
      </c>
      <c r="J526">
        <f t="shared" si="8"/>
        <v>91.201190999999994</v>
      </c>
    </row>
    <row r="527" spans="1:10" x14ac:dyDescent="0.25">
      <c r="A527" t="s">
        <v>104</v>
      </c>
      <c r="B527" t="s">
        <v>105</v>
      </c>
      <c r="C527" t="s">
        <v>42</v>
      </c>
      <c r="D527" t="s">
        <v>43</v>
      </c>
      <c r="J527">
        <f t="shared" si="8"/>
        <v>0</v>
      </c>
    </row>
    <row r="528" spans="1:10" x14ac:dyDescent="0.25">
      <c r="A528" t="s">
        <v>104</v>
      </c>
      <c r="B528" t="s">
        <v>105</v>
      </c>
      <c r="C528" t="s">
        <v>44</v>
      </c>
      <c r="D528" t="s">
        <v>45</v>
      </c>
      <c r="E528">
        <v>19.5</v>
      </c>
      <c r="J528">
        <f t="shared" si="8"/>
        <v>19.5</v>
      </c>
    </row>
    <row r="529" spans="1:10" x14ac:dyDescent="0.25">
      <c r="A529" t="s">
        <v>106</v>
      </c>
      <c r="B529" t="s">
        <v>107</v>
      </c>
      <c r="C529" t="s">
        <v>11</v>
      </c>
      <c r="D529" t="s">
        <v>12</v>
      </c>
      <c r="J529">
        <f t="shared" si="8"/>
        <v>0</v>
      </c>
    </row>
    <row r="530" spans="1:10" x14ac:dyDescent="0.25">
      <c r="A530" t="s">
        <v>106</v>
      </c>
      <c r="B530" t="s">
        <v>107</v>
      </c>
      <c r="C530" t="s">
        <v>14</v>
      </c>
      <c r="D530" t="s">
        <v>15</v>
      </c>
      <c r="J530">
        <f t="shared" si="8"/>
        <v>0</v>
      </c>
    </row>
    <row r="531" spans="1:10" x14ac:dyDescent="0.25">
      <c r="A531" t="s">
        <v>106</v>
      </c>
      <c r="B531" t="s">
        <v>107</v>
      </c>
      <c r="C531" t="s">
        <v>16</v>
      </c>
      <c r="D531" t="s">
        <v>17</v>
      </c>
      <c r="J531">
        <f t="shared" si="8"/>
        <v>0</v>
      </c>
    </row>
    <row r="532" spans="1:10" x14ac:dyDescent="0.25">
      <c r="A532" t="s">
        <v>106</v>
      </c>
      <c r="B532" t="s">
        <v>107</v>
      </c>
      <c r="C532" t="s">
        <v>18</v>
      </c>
      <c r="D532" t="s">
        <v>19</v>
      </c>
      <c r="J532">
        <f t="shared" si="8"/>
        <v>0</v>
      </c>
    </row>
    <row r="533" spans="1:10" x14ac:dyDescent="0.25">
      <c r="A533" t="s">
        <v>106</v>
      </c>
      <c r="B533" t="s">
        <v>107</v>
      </c>
      <c r="C533" t="s">
        <v>20</v>
      </c>
      <c r="D533" t="s">
        <v>21</v>
      </c>
      <c r="J533">
        <f t="shared" si="8"/>
        <v>0</v>
      </c>
    </row>
    <row r="534" spans="1:10" x14ac:dyDescent="0.25">
      <c r="A534" t="s">
        <v>106</v>
      </c>
      <c r="B534" t="s">
        <v>107</v>
      </c>
      <c r="C534" t="s">
        <v>22</v>
      </c>
      <c r="D534" t="s">
        <v>23</v>
      </c>
      <c r="J534">
        <f t="shared" si="8"/>
        <v>0</v>
      </c>
    </row>
    <row r="535" spans="1:10" x14ac:dyDescent="0.25">
      <c r="A535" t="s">
        <v>106</v>
      </c>
      <c r="B535" t="s">
        <v>107</v>
      </c>
      <c r="C535" t="s">
        <v>24</v>
      </c>
      <c r="D535" t="s">
        <v>25</v>
      </c>
      <c r="J535">
        <f t="shared" si="8"/>
        <v>0</v>
      </c>
    </row>
    <row r="536" spans="1:10" x14ac:dyDescent="0.25">
      <c r="A536" t="s">
        <v>106</v>
      </c>
      <c r="B536" t="s">
        <v>107</v>
      </c>
      <c r="C536" t="s">
        <v>26</v>
      </c>
      <c r="D536" t="s">
        <v>27</v>
      </c>
      <c r="J536">
        <f t="shared" si="8"/>
        <v>0</v>
      </c>
    </row>
    <row r="537" spans="1:10" x14ac:dyDescent="0.25">
      <c r="A537" t="s">
        <v>106</v>
      </c>
      <c r="B537" t="s">
        <v>107</v>
      </c>
      <c r="C537" t="s">
        <v>28</v>
      </c>
      <c r="D537" t="s">
        <v>29</v>
      </c>
      <c r="J537">
        <f t="shared" si="8"/>
        <v>0</v>
      </c>
    </row>
    <row r="538" spans="1:10" x14ac:dyDescent="0.25">
      <c r="A538" t="s">
        <v>106</v>
      </c>
      <c r="B538" t="s">
        <v>107</v>
      </c>
      <c r="C538" t="s">
        <v>30</v>
      </c>
      <c r="D538" t="s">
        <v>31</v>
      </c>
      <c r="J538">
        <f t="shared" si="8"/>
        <v>0</v>
      </c>
    </row>
    <row r="539" spans="1:10" x14ac:dyDescent="0.25">
      <c r="A539" t="s">
        <v>106</v>
      </c>
      <c r="B539" t="s">
        <v>107</v>
      </c>
      <c r="C539" t="s">
        <v>32</v>
      </c>
      <c r="D539" t="s">
        <v>33</v>
      </c>
      <c r="E539">
        <v>14</v>
      </c>
      <c r="F539">
        <v>14</v>
      </c>
      <c r="G539">
        <v>14</v>
      </c>
      <c r="H539">
        <v>14</v>
      </c>
      <c r="I539">
        <v>14</v>
      </c>
      <c r="J539">
        <f t="shared" si="8"/>
        <v>14</v>
      </c>
    </row>
    <row r="540" spans="1:10" x14ac:dyDescent="0.25">
      <c r="A540" t="s">
        <v>106</v>
      </c>
      <c r="B540" t="s">
        <v>107</v>
      </c>
      <c r="C540" t="s">
        <v>34</v>
      </c>
      <c r="D540" t="s">
        <v>35</v>
      </c>
      <c r="J540">
        <f t="shared" si="8"/>
        <v>0</v>
      </c>
    </row>
    <row r="541" spans="1:10" x14ac:dyDescent="0.25">
      <c r="A541" t="s">
        <v>106</v>
      </c>
      <c r="B541" t="s">
        <v>107</v>
      </c>
      <c r="C541" t="s">
        <v>36</v>
      </c>
      <c r="D541" t="s">
        <v>37</v>
      </c>
      <c r="J541">
        <f t="shared" si="8"/>
        <v>0</v>
      </c>
    </row>
    <row r="542" spans="1:10" x14ac:dyDescent="0.25">
      <c r="A542" t="s">
        <v>106</v>
      </c>
      <c r="B542" t="s">
        <v>107</v>
      </c>
      <c r="C542" t="s">
        <v>38</v>
      </c>
      <c r="D542" t="s">
        <v>39</v>
      </c>
      <c r="J542">
        <f t="shared" si="8"/>
        <v>0</v>
      </c>
    </row>
    <row r="543" spans="1:10" x14ac:dyDescent="0.25">
      <c r="A543" t="s">
        <v>106</v>
      </c>
      <c r="B543" t="s">
        <v>107</v>
      </c>
      <c r="C543" t="s">
        <v>40</v>
      </c>
      <c r="D543" t="s">
        <v>41</v>
      </c>
      <c r="E543">
        <v>90.385895000000005</v>
      </c>
      <c r="F543">
        <v>90.429749000000001</v>
      </c>
      <c r="G543">
        <v>89.164428999999998</v>
      </c>
      <c r="H543">
        <v>90.589427000000001</v>
      </c>
      <c r="J543">
        <f t="shared" si="8"/>
        <v>90.589427000000001</v>
      </c>
    </row>
    <row r="544" spans="1:10" x14ac:dyDescent="0.25">
      <c r="A544" t="s">
        <v>106</v>
      </c>
      <c r="B544" t="s">
        <v>107</v>
      </c>
      <c r="C544" t="s">
        <v>42</v>
      </c>
      <c r="D544" t="s">
        <v>43</v>
      </c>
      <c r="J544">
        <f t="shared" si="8"/>
        <v>0</v>
      </c>
    </row>
    <row r="545" spans="1:10" x14ac:dyDescent="0.25">
      <c r="A545" t="s">
        <v>106</v>
      </c>
      <c r="B545" t="s">
        <v>107</v>
      </c>
      <c r="C545" t="s">
        <v>44</v>
      </c>
      <c r="D545" t="s">
        <v>45</v>
      </c>
      <c r="J545">
        <f t="shared" si="8"/>
        <v>0</v>
      </c>
    </row>
    <row r="546" spans="1:10" x14ac:dyDescent="0.25">
      <c r="A546" t="s">
        <v>108</v>
      </c>
      <c r="B546" t="s">
        <v>109</v>
      </c>
      <c r="C546" t="s">
        <v>11</v>
      </c>
      <c r="D546" t="s">
        <v>12</v>
      </c>
      <c r="G546">
        <v>51.3</v>
      </c>
      <c r="J546">
        <f t="shared" si="8"/>
        <v>51.3</v>
      </c>
    </row>
    <row r="547" spans="1:10" x14ac:dyDescent="0.25">
      <c r="A547" t="s">
        <v>108</v>
      </c>
      <c r="B547" t="s">
        <v>109</v>
      </c>
      <c r="C547" t="s">
        <v>14</v>
      </c>
      <c r="D547" t="s">
        <v>15</v>
      </c>
      <c r="G547">
        <v>48.96</v>
      </c>
      <c r="J547">
        <f t="shared" si="8"/>
        <v>48.96</v>
      </c>
    </row>
    <row r="548" spans="1:10" x14ac:dyDescent="0.25">
      <c r="A548" t="s">
        <v>108</v>
      </c>
      <c r="B548" t="s">
        <v>109</v>
      </c>
      <c r="C548" t="s">
        <v>16</v>
      </c>
      <c r="D548" t="s">
        <v>17</v>
      </c>
      <c r="G548">
        <v>53.7</v>
      </c>
      <c r="J548">
        <f t="shared" si="8"/>
        <v>53.7</v>
      </c>
    </row>
    <row r="549" spans="1:10" x14ac:dyDescent="0.25">
      <c r="A549" t="s">
        <v>108</v>
      </c>
      <c r="B549" t="s">
        <v>109</v>
      </c>
      <c r="C549" t="s">
        <v>18</v>
      </c>
      <c r="D549" t="s">
        <v>19</v>
      </c>
      <c r="G549">
        <v>38.880000000000003</v>
      </c>
      <c r="J549">
        <f t="shared" si="8"/>
        <v>38.880000000000003</v>
      </c>
    </row>
    <row r="550" spans="1:10" x14ac:dyDescent="0.25">
      <c r="A550" t="s">
        <v>108</v>
      </c>
      <c r="B550" t="s">
        <v>109</v>
      </c>
      <c r="C550" t="s">
        <v>20</v>
      </c>
      <c r="D550" t="s">
        <v>21</v>
      </c>
      <c r="G550">
        <v>31.16</v>
      </c>
      <c r="J550">
        <f t="shared" si="8"/>
        <v>31.16</v>
      </c>
    </row>
    <row r="551" spans="1:10" x14ac:dyDescent="0.25">
      <c r="A551" t="s">
        <v>108</v>
      </c>
      <c r="B551" t="s">
        <v>109</v>
      </c>
      <c r="C551" t="s">
        <v>22</v>
      </c>
      <c r="D551" t="s">
        <v>23</v>
      </c>
      <c r="G551">
        <v>39.369999999999997</v>
      </c>
      <c r="J551">
        <f t="shared" si="8"/>
        <v>39.369999999999997</v>
      </c>
    </row>
    <row r="552" spans="1:10" x14ac:dyDescent="0.25">
      <c r="A552" t="s">
        <v>108</v>
      </c>
      <c r="B552" t="s">
        <v>109</v>
      </c>
      <c r="C552" t="s">
        <v>24</v>
      </c>
      <c r="D552" t="s">
        <v>25</v>
      </c>
      <c r="J552">
        <f t="shared" si="8"/>
        <v>0</v>
      </c>
    </row>
    <row r="553" spans="1:10" x14ac:dyDescent="0.25">
      <c r="A553" t="s">
        <v>108</v>
      </c>
      <c r="B553" t="s">
        <v>109</v>
      </c>
      <c r="C553" t="s">
        <v>26</v>
      </c>
      <c r="D553" t="s">
        <v>27</v>
      </c>
      <c r="J553">
        <f t="shared" si="8"/>
        <v>0</v>
      </c>
    </row>
    <row r="554" spans="1:10" x14ac:dyDescent="0.25">
      <c r="A554" t="s">
        <v>108</v>
      </c>
      <c r="B554" t="s">
        <v>109</v>
      </c>
      <c r="C554" t="s">
        <v>28</v>
      </c>
      <c r="D554" t="s">
        <v>29</v>
      </c>
      <c r="E554">
        <v>5</v>
      </c>
      <c r="J554">
        <f t="shared" si="8"/>
        <v>5</v>
      </c>
    </row>
    <row r="555" spans="1:10" x14ac:dyDescent="0.25">
      <c r="A555" t="s">
        <v>108</v>
      </c>
      <c r="B555" t="s">
        <v>109</v>
      </c>
      <c r="C555" t="s">
        <v>30</v>
      </c>
      <c r="D555" t="s">
        <v>31</v>
      </c>
      <c r="J555">
        <f t="shared" si="8"/>
        <v>0</v>
      </c>
    </row>
    <row r="556" spans="1:10" x14ac:dyDescent="0.25">
      <c r="A556" t="s">
        <v>108</v>
      </c>
      <c r="B556" t="s">
        <v>109</v>
      </c>
      <c r="C556" t="s">
        <v>32</v>
      </c>
      <c r="D556" t="s">
        <v>33</v>
      </c>
      <c r="E556">
        <v>15</v>
      </c>
      <c r="F556">
        <v>15</v>
      </c>
      <c r="G556">
        <v>15</v>
      </c>
      <c r="H556">
        <v>15</v>
      </c>
      <c r="I556">
        <v>15</v>
      </c>
      <c r="J556">
        <f t="shared" si="8"/>
        <v>15</v>
      </c>
    </row>
    <row r="557" spans="1:10" x14ac:dyDescent="0.25">
      <c r="A557" t="s">
        <v>108</v>
      </c>
      <c r="B557" t="s">
        <v>109</v>
      </c>
      <c r="C557" t="s">
        <v>34</v>
      </c>
      <c r="D557" t="s">
        <v>35</v>
      </c>
      <c r="E557">
        <v>23.3333339691162</v>
      </c>
      <c r="F557">
        <v>25.7142848968506</v>
      </c>
      <c r="G557">
        <v>30.9523811340332</v>
      </c>
      <c r="H557">
        <v>36.792453765869098</v>
      </c>
      <c r="I557">
        <v>37.735847473144503</v>
      </c>
      <c r="J557">
        <f t="shared" si="8"/>
        <v>37.735847473144503</v>
      </c>
    </row>
    <row r="558" spans="1:10" x14ac:dyDescent="0.25">
      <c r="A558" t="s">
        <v>108</v>
      </c>
      <c r="B558" t="s">
        <v>109</v>
      </c>
      <c r="C558" t="s">
        <v>36</v>
      </c>
      <c r="D558" t="s">
        <v>37</v>
      </c>
      <c r="E558">
        <v>45.528247415436503</v>
      </c>
      <c r="J558">
        <f t="shared" si="8"/>
        <v>45.528247415436503</v>
      </c>
    </row>
    <row r="559" spans="1:10" x14ac:dyDescent="0.25">
      <c r="A559" t="s">
        <v>108</v>
      </c>
      <c r="B559" t="s">
        <v>109</v>
      </c>
      <c r="C559" t="s">
        <v>38</v>
      </c>
      <c r="D559" t="s">
        <v>39</v>
      </c>
      <c r="E559">
        <v>1.75393802260007</v>
      </c>
      <c r="J559">
        <f t="shared" si="8"/>
        <v>1.75393802260007</v>
      </c>
    </row>
    <row r="560" spans="1:10" x14ac:dyDescent="0.25">
      <c r="A560" t="s">
        <v>108</v>
      </c>
      <c r="B560" t="s">
        <v>109</v>
      </c>
      <c r="C560" t="s">
        <v>40</v>
      </c>
      <c r="D560" t="s">
        <v>41</v>
      </c>
      <c r="E560">
        <v>82.407443000000001</v>
      </c>
      <c r="F560">
        <v>82.830916000000002</v>
      </c>
      <c r="G560">
        <v>81.063034000000002</v>
      </c>
      <c r="H560">
        <v>84.390127000000007</v>
      </c>
      <c r="J560">
        <f t="shared" si="8"/>
        <v>84.390127000000007</v>
      </c>
    </row>
    <row r="561" spans="1:10" x14ac:dyDescent="0.25">
      <c r="A561" t="s">
        <v>108</v>
      </c>
      <c r="B561" t="s">
        <v>109</v>
      </c>
      <c r="C561" t="s">
        <v>42</v>
      </c>
      <c r="D561" t="s">
        <v>43</v>
      </c>
      <c r="J561">
        <f t="shared" si="8"/>
        <v>0</v>
      </c>
    </row>
    <row r="562" spans="1:10" x14ac:dyDescent="0.25">
      <c r="A562" t="s">
        <v>108</v>
      </c>
      <c r="B562" t="s">
        <v>109</v>
      </c>
      <c r="C562" t="s">
        <v>44</v>
      </c>
      <c r="D562" t="s">
        <v>45</v>
      </c>
      <c r="E562">
        <v>16.5</v>
      </c>
      <c r="J562">
        <f t="shared" si="8"/>
        <v>16.5</v>
      </c>
    </row>
    <row r="563" spans="1:10" x14ac:dyDescent="0.25">
      <c r="A563" t="s">
        <v>110</v>
      </c>
      <c r="B563" t="s">
        <v>111</v>
      </c>
      <c r="C563" t="s">
        <v>11</v>
      </c>
      <c r="D563" t="s">
        <v>12</v>
      </c>
      <c r="G563">
        <v>27.44</v>
      </c>
      <c r="J563">
        <f t="shared" si="8"/>
        <v>27.44</v>
      </c>
    </row>
    <row r="564" spans="1:10" x14ac:dyDescent="0.25">
      <c r="A564" t="s">
        <v>110</v>
      </c>
      <c r="B564" t="s">
        <v>111</v>
      </c>
      <c r="C564" t="s">
        <v>14</v>
      </c>
      <c r="D564" t="s">
        <v>15</v>
      </c>
      <c r="G564">
        <v>24.2</v>
      </c>
      <c r="J564">
        <f t="shared" si="8"/>
        <v>24.2</v>
      </c>
    </row>
    <row r="565" spans="1:10" x14ac:dyDescent="0.25">
      <c r="A565" t="s">
        <v>110</v>
      </c>
      <c r="B565" t="s">
        <v>111</v>
      </c>
      <c r="C565" t="s">
        <v>16</v>
      </c>
      <c r="D565" t="s">
        <v>17</v>
      </c>
      <c r="G565">
        <v>30.57</v>
      </c>
      <c r="J565">
        <f t="shared" si="8"/>
        <v>30.57</v>
      </c>
    </row>
    <row r="566" spans="1:10" x14ac:dyDescent="0.25">
      <c r="A566" t="s">
        <v>110</v>
      </c>
      <c r="B566" t="s">
        <v>111</v>
      </c>
      <c r="C566" t="s">
        <v>18</v>
      </c>
      <c r="D566" t="s">
        <v>19</v>
      </c>
      <c r="G566">
        <v>20</v>
      </c>
      <c r="J566">
        <f t="shared" si="8"/>
        <v>20</v>
      </c>
    </row>
    <row r="567" spans="1:10" x14ac:dyDescent="0.25">
      <c r="A567" t="s">
        <v>110</v>
      </c>
      <c r="B567" t="s">
        <v>111</v>
      </c>
      <c r="C567" t="s">
        <v>20</v>
      </c>
      <c r="D567" t="s">
        <v>21</v>
      </c>
      <c r="G567">
        <v>9.74</v>
      </c>
      <c r="J567">
        <f t="shared" si="8"/>
        <v>9.74</v>
      </c>
    </row>
    <row r="568" spans="1:10" x14ac:dyDescent="0.25">
      <c r="A568" t="s">
        <v>110</v>
      </c>
      <c r="B568" t="s">
        <v>111</v>
      </c>
      <c r="C568" t="s">
        <v>22</v>
      </c>
      <c r="D568" t="s">
        <v>23</v>
      </c>
      <c r="G568">
        <v>25</v>
      </c>
      <c r="J568">
        <f t="shared" si="8"/>
        <v>25</v>
      </c>
    </row>
    <row r="569" spans="1:10" x14ac:dyDescent="0.25">
      <c r="A569" t="s">
        <v>110</v>
      </c>
      <c r="B569" t="s">
        <v>111</v>
      </c>
      <c r="C569" t="s">
        <v>24</v>
      </c>
      <c r="D569" t="s">
        <v>25</v>
      </c>
      <c r="J569">
        <f t="shared" si="8"/>
        <v>0</v>
      </c>
    </row>
    <row r="570" spans="1:10" x14ac:dyDescent="0.25">
      <c r="A570" t="s">
        <v>110</v>
      </c>
      <c r="B570" t="s">
        <v>111</v>
      </c>
      <c r="C570" t="s">
        <v>26</v>
      </c>
      <c r="D570" t="s">
        <v>27</v>
      </c>
      <c r="F570">
        <v>4.9000000000000004</v>
      </c>
      <c r="J570">
        <f t="shared" si="8"/>
        <v>4.9000000000000004</v>
      </c>
    </row>
    <row r="571" spans="1:10" x14ac:dyDescent="0.25">
      <c r="A571" t="s">
        <v>110</v>
      </c>
      <c r="B571" t="s">
        <v>111</v>
      </c>
      <c r="C571" t="s">
        <v>28</v>
      </c>
      <c r="D571" t="s">
        <v>29</v>
      </c>
      <c r="E571">
        <v>8</v>
      </c>
      <c r="J571">
        <f t="shared" si="8"/>
        <v>8</v>
      </c>
    </row>
    <row r="572" spans="1:10" x14ac:dyDescent="0.25">
      <c r="A572" t="s">
        <v>110</v>
      </c>
      <c r="B572" t="s">
        <v>111</v>
      </c>
      <c r="C572" t="s">
        <v>30</v>
      </c>
      <c r="D572" t="s">
        <v>31</v>
      </c>
      <c r="J572">
        <f t="shared" si="8"/>
        <v>0</v>
      </c>
    </row>
    <row r="573" spans="1:10" x14ac:dyDescent="0.25">
      <c r="A573" t="s">
        <v>110</v>
      </c>
      <c r="B573" t="s">
        <v>111</v>
      </c>
      <c r="C573" t="s">
        <v>32</v>
      </c>
      <c r="D573" t="s">
        <v>33</v>
      </c>
      <c r="E573">
        <v>12</v>
      </c>
      <c r="F573">
        <v>12</v>
      </c>
      <c r="G573">
        <v>12</v>
      </c>
      <c r="H573">
        <v>12</v>
      </c>
      <c r="I573">
        <v>12</v>
      </c>
      <c r="J573">
        <f t="shared" si="8"/>
        <v>12</v>
      </c>
    </row>
    <row r="574" spans="1:10" x14ac:dyDescent="0.25">
      <c r="A574" t="s">
        <v>110</v>
      </c>
      <c r="B574" t="s">
        <v>111</v>
      </c>
      <c r="C574" t="s">
        <v>34</v>
      </c>
      <c r="D574" t="s">
        <v>35</v>
      </c>
      <c r="E574">
        <v>28.571428298950199</v>
      </c>
      <c r="F574">
        <v>23.809524536132798</v>
      </c>
      <c r="G574">
        <v>26.6666660308838</v>
      </c>
      <c r="H574">
        <v>26.886793136596701</v>
      </c>
      <c r="I574">
        <v>24.5283012390137</v>
      </c>
      <c r="J574">
        <f t="shared" si="8"/>
        <v>28.571428298950199</v>
      </c>
    </row>
    <row r="575" spans="1:10" x14ac:dyDescent="0.25">
      <c r="A575" t="s">
        <v>110</v>
      </c>
      <c r="B575" t="s">
        <v>111</v>
      </c>
      <c r="C575" t="s">
        <v>36</v>
      </c>
      <c r="D575" t="s">
        <v>37</v>
      </c>
      <c r="J575">
        <f t="shared" si="8"/>
        <v>0</v>
      </c>
    </row>
    <row r="576" spans="1:10" x14ac:dyDescent="0.25">
      <c r="A576" t="s">
        <v>110</v>
      </c>
      <c r="B576" t="s">
        <v>111</v>
      </c>
      <c r="C576" t="s">
        <v>38</v>
      </c>
      <c r="D576" t="s">
        <v>39</v>
      </c>
      <c r="J576">
        <f t="shared" si="8"/>
        <v>0</v>
      </c>
    </row>
    <row r="577" spans="1:10" x14ac:dyDescent="0.25">
      <c r="A577" t="s">
        <v>110</v>
      </c>
      <c r="B577" t="s">
        <v>111</v>
      </c>
      <c r="C577" t="s">
        <v>40</v>
      </c>
      <c r="D577" t="s">
        <v>41</v>
      </c>
      <c r="E577">
        <v>80.987706000000003</v>
      </c>
      <c r="F577">
        <v>79.273573999999996</v>
      </c>
      <c r="G577">
        <v>77.611127999999994</v>
      </c>
      <c r="H577">
        <v>80.409166999999997</v>
      </c>
      <c r="J577">
        <f t="shared" si="8"/>
        <v>80.987706000000003</v>
      </c>
    </row>
    <row r="578" spans="1:10" x14ac:dyDescent="0.25">
      <c r="A578" t="s">
        <v>110</v>
      </c>
      <c r="B578" t="s">
        <v>111</v>
      </c>
      <c r="C578" t="s">
        <v>42</v>
      </c>
      <c r="D578" t="s">
        <v>43</v>
      </c>
      <c r="J578">
        <f t="shared" si="8"/>
        <v>0</v>
      </c>
    </row>
    <row r="579" spans="1:10" x14ac:dyDescent="0.25">
      <c r="A579" t="s">
        <v>110</v>
      </c>
      <c r="B579" t="s">
        <v>111</v>
      </c>
      <c r="C579" t="s">
        <v>44</v>
      </c>
      <c r="D579" t="s">
        <v>45</v>
      </c>
      <c r="E579">
        <v>12.5</v>
      </c>
      <c r="J579">
        <f t="shared" ref="J579:J642" si="9">MAX(E579:I579)</f>
        <v>12.5</v>
      </c>
    </row>
    <row r="580" spans="1:10" x14ac:dyDescent="0.25">
      <c r="A580" t="s">
        <v>112</v>
      </c>
      <c r="B580" t="s">
        <v>113</v>
      </c>
      <c r="C580" t="s">
        <v>11</v>
      </c>
      <c r="D580" t="s">
        <v>12</v>
      </c>
      <c r="G580">
        <v>35.85</v>
      </c>
      <c r="J580">
        <f t="shared" si="9"/>
        <v>35.85</v>
      </c>
    </row>
    <row r="581" spans="1:10" x14ac:dyDescent="0.25">
      <c r="A581" t="s">
        <v>112</v>
      </c>
      <c r="B581" t="s">
        <v>113</v>
      </c>
      <c r="C581" t="s">
        <v>14</v>
      </c>
      <c r="D581" t="s">
        <v>15</v>
      </c>
      <c r="G581">
        <v>29.23</v>
      </c>
      <c r="J581">
        <f t="shared" si="9"/>
        <v>29.23</v>
      </c>
    </row>
    <row r="582" spans="1:10" x14ac:dyDescent="0.25">
      <c r="A582" t="s">
        <v>112</v>
      </c>
      <c r="B582" t="s">
        <v>113</v>
      </c>
      <c r="C582" t="s">
        <v>16</v>
      </c>
      <c r="D582" t="s">
        <v>17</v>
      </c>
      <c r="G582">
        <v>44.8</v>
      </c>
      <c r="J582">
        <f t="shared" si="9"/>
        <v>44.8</v>
      </c>
    </row>
    <row r="583" spans="1:10" x14ac:dyDescent="0.25">
      <c r="A583" t="s">
        <v>112</v>
      </c>
      <c r="B583" t="s">
        <v>113</v>
      </c>
      <c r="C583" t="s">
        <v>18</v>
      </c>
      <c r="D583" t="s">
        <v>19</v>
      </c>
      <c r="G583">
        <v>23.08</v>
      </c>
      <c r="J583">
        <f t="shared" si="9"/>
        <v>23.08</v>
      </c>
    </row>
    <row r="584" spans="1:10" x14ac:dyDescent="0.25">
      <c r="A584" t="s">
        <v>112</v>
      </c>
      <c r="B584" t="s">
        <v>113</v>
      </c>
      <c r="C584" t="s">
        <v>20</v>
      </c>
      <c r="D584" t="s">
        <v>21</v>
      </c>
      <c r="G584">
        <v>31.65</v>
      </c>
      <c r="J584">
        <f t="shared" si="9"/>
        <v>31.65</v>
      </c>
    </row>
    <row r="585" spans="1:10" x14ac:dyDescent="0.25">
      <c r="A585" t="s">
        <v>112</v>
      </c>
      <c r="B585" t="s">
        <v>113</v>
      </c>
      <c r="C585" t="s">
        <v>22</v>
      </c>
      <c r="D585" t="s">
        <v>23</v>
      </c>
      <c r="G585">
        <v>27.96</v>
      </c>
      <c r="J585">
        <f t="shared" si="9"/>
        <v>27.96</v>
      </c>
    </row>
    <row r="586" spans="1:10" x14ac:dyDescent="0.25">
      <c r="A586" t="s">
        <v>112</v>
      </c>
      <c r="B586" t="s">
        <v>113</v>
      </c>
      <c r="C586" t="s">
        <v>24</v>
      </c>
      <c r="D586" t="s">
        <v>25</v>
      </c>
      <c r="J586">
        <f t="shared" si="9"/>
        <v>0</v>
      </c>
    </row>
    <row r="587" spans="1:10" x14ac:dyDescent="0.25">
      <c r="A587" t="s">
        <v>112</v>
      </c>
      <c r="B587" t="s">
        <v>113</v>
      </c>
      <c r="C587" t="s">
        <v>26</v>
      </c>
      <c r="D587" t="s">
        <v>27</v>
      </c>
      <c r="I587">
        <v>3.1</v>
      </c>
      <c r="J587">
        <f t="shared" si="9"/>
        <v>3.1</v>
      </c>
    </row>
    <row r="588" spans="1:10" x14ac:dyDescent="0.25">
      <c r="A588" t="s">
        <v>112</v>
      </c>
      <c r="B588" t="s">
        <v>113</v>
      </c>
      <c r="C588" t="s">
        <v>28</v>
      </c>
      <c r="D588" t="s">
        <v>29</v>
      </c>
      <c r="E588">
        <v>3</v>
      </c>
      <c r="J588">
        <f t="shared" si="9"/>
        <v>3</v>
      </c>
    </row>
    <row r="589" spans="1:10" x14ac:dyDescent="0.25">
      <c r="A589" t="s">
        <v>112</v>
      </c>
      <c r="B589" t="s">
        <v>113</v>
      </c>
      <c r="C589" t="s">
        <v>30</v>
      </c>
      <c r="D589" t="s">
        <v>31</v>
      </c>
      <c r="E589">
        <v>53.879039356217802</v>
      </c>
      <c r="F589">
        <v>70.384279402388103</v>
      </c>
      <c r="G589">
        <v>66.469052588666401</v>
      </c>
      <c r="H589">
        <v>73.761164803313207</v>
      </c>
      <c r="I589">
        <v>101.704452248702</v>
      </c>
      <c r="J589">
        <f t="shared" si="9"/>
        <v>101.704452248702</v>
      </c>
    </row>
    <row r="590" spans="1:10" x14ac:dyDescent="0.25">
      <c r="A590" t="s">
        <v>112</v>
      </c>
      <c r="B590" t="s">
        <v>113</v>
      </c>
      <c r="C590" t="s">
        <v>32</v>
      </c>
      <c r="D590" t="s">
        <v>33</v>
      </c>
      <c r="E590">
        <v>15</v>
      </c>
      <c r="F590">
        <v>15</v>
      </c>
      <c r="G590">
        <v>15</v>
      </c>
      <c r="H590">
        <v>15</v>
      </c>
      <c r="I590">
        <v>15</v>
      </c>
      <c r="J590">
        <f t="shared" si="9"/>
        <v>15</v>
      </c>
    </row>
    <row r="591" spans="1:10" x14ac:dyDescent="0.25">
      <c r="A591" t="s">
        <v>112</v>
      </c>
      <c r="B591" t="s">
        <v>113</v>
      </c>
      <c r="C591" t="s">
        <v>34</v>
      </c>
      <c r="D591" t="s">
        <v>35</v>
      </c>
      <c r="E591">
        <v>33.809524536132798</v>
      </c>
      <c r="F591">
        <v>30.9523811340332</v>
      </c>
      <c r="G591">
        <v>32.857143402099602</v>
      </c>
      <c r="H591">
        <v>27.3584899902344</v>
      </c>
      <c r="I591">
        <v>32.075469970703097</v>
      </c>
      <c r="J591">
        <f t="shared" si="9"/>
        <v>33.809524536132798</v>
      </c>
    </row>
    <row r="592" spans="1:10" x14ac:dyDescent="0.25">
      <c r="A592" t="s">
        <v>112</v>
      </c>
      <c r="B592" t="s">
        <v>113</v>
      </c>
      <c r="C592" t="s">
        <v>36</v>
      </c>
      <c r="D592" t="s">
        <v>37</v>
      </c>
      <c r="E592">
        <v>83.667764276266894</v>
      </c>
      <c r="J592">
        <f t="shared" si="9"/>
        <v>83.667764276266894</v>
      </c>
    </row>
    <row r="593" spans="1:10" x14ac:dyDescent="0.25">
      <c r="A593" t="s">
        <v>112</v>
      </c>
      <c r="B593" t="s">
        <v>113</v>
      </c>
      <c r="C593" t="s">
        <v>38</v>
      </c>
      <c r="D593" t="s">
        <v>39</v>
      </c>
      <c r="E593">
        <v>2.0050918453445599</v>
      </c>
      <c r="J593">
        <f t="shared" si="9"/>
        <v>2.0050918453445599</v>
      </c>
    </row>
    <row r="594" spans="1:10" x14ac:dyDescent="0.25">
      <c r="A594" t="s">
        <v>112</v>
      </c>
      <c r="B594" t="s">
        <v>113</v>
      </c>
      <c r="C594" t="s">
        <v>40</v>
      </c>
      <c r="D594" t="s">
        <v>41</v>
      </c>
      <c r="E594">
        <v>81.675394999999995</v>
      </c>
      <c r="F594">
        <v>79.577192999999994</v>
      </c>
      <c r="G594">
        <v>78.598416</v>
      </c>
      <c r="H594">
        <v>81.834863999999996</v>
      </c>
      <c r="J594">
        <f t="shared" si="9"/>
        <v>81.834863999999996</v>
      </c>
    </row>
    <row r="595" spans="1:10" x14ac:dyDescent="0.25">
      <c r="A595" t="s">
        <v>112</v>
      </c>
      <c r="B595" t="s">
        <v>113</v>
      </c>
      <c r="C595" t="s">
        <v>42</v>
      </c>
      <c r="D595" t="s">
        <v>43</v>
      </c>
      <c r="J595">
        <f t="shared" si="9"/>
        <v>0</v>
      </c>
    </row>
    <row r="596" spans="1:10" x14ac:dyDescent="0.25">
      <c r="A596" t="s">
        <v>112</v>
      </c>
      <c r="B596" t="s">
        <v>113</v>
      </c>
      <c r="C596" t="s">
        <v>44</v>
      </c>
      <c r="D596" t="s">
        <v>45</v>
      </c>
      <c r="E596">
        <v>16.5</v>
      </c>
      <c r="J596">
        <f t="shared" si="9"/>
        <v>16.5</v>
      </c>
    </row>
    <row r="597" spans="1:10" x14ac:dyDescent="0.25">
      <c r="A597" t="s">
        <v>114</v>
      </c>
      <c r="B597" t="s">
        <v>115</v>
      </c>
      <c r="C597" t="s">
        <v>11</v>
      </c>
      <c r="D597" t="s">
        <v>12</v>
      </c>
      <c r="G597">
        <v>99.38</v>
      </c>
      <c r="J597">
        <f t="shared" si="9"/>
        <v>99.38</v>
      </c>
    </row>
    <row r="598" spans="1:10" x14ac:dyDescent="0.25">
      <c r="A598" t="s">
        <v>114</v>
      </c>
      <c r="B598" t="s">
        <v>115</v>
      </c>
      <c r="C598" t="s">
        <v>14</v>
      </c>
      <c r="D598" t="s">
        <v>15</v>
      </c>
      <c r="G598">
        <v>99.6</v>
      </c>
      <c r="J598">
        <f t="shared" si="9"/>
        <v>99.6</v>
      </c>
    </row>
    <row r="599" spans="1:10" x14ac:dyDescent="0.25">
      <c r="A599" t="s">
        <v>114</v>
      </c>
      <c r="B599" t="s">
        <v>115</v>
      </c>
      <c r="C599" t="s">
        <v>16</v>
      </c>
      <c r="D599" t="s">
        <v>17</v>
      </c>
      <c r="G599">
        <v>99.12</v>
      </c>
      <c r="J599">
        <f t="shared" si="9"/>
        <v>99.12</v>
      </c>
    </row>
    <row r="600" spans="1:10" x14ac:dyDescent="0.25">
      <c r="A600" t="s">
        <v>114</v>
      </c>
      <c r="B600" t="s">
        <v>115</v>
      </c>
      <c r="C600" t="s">
        <v>18</v>
      </c>
      <c r="D600" t="s">
        <v>19</v>
      </c>
      <c r="G600">
        <v>99.46</v>
      </c>
      <c r="J600">
        <f t="shared" si="9"/>
        <v>99.46</v>
      </c>
    </row>
    <row r="601" spans="1:10" x14ac:dyDescent="0.25">
      <c r="A601" t="s">
        <v>114</v>
      </c>
      <c r="B601" t="s">
        <v>115</v>
      </c>
      <c r="C601" t="s">
        <v>20</v>
      </c>
      <c r="D601" t="s">
        <v>21</v>
      </c>
      <c r="G601">
        <v>100</v>
      </c>
      <c r="J601">
        <f t="shared" si="9"/>
        <v>100</v>
      </c>
    </row>
    <row r="602" spans="1:10" x14ac:dyDescent="0.25">
      <c r="A602" t="s">
        <v>114</v>
      </c>
      <c r="B602" t="s">
        <v>115</v>
      </c>
      <c r="C602" t="s">
        <v>22</v>
      </c>
      <c r="D602" t="s">
        <v>23</v>
      </c>
      <c r="G602">
        <v>98.39</v>
      </c>
      <c r="J602">
        <f t="shared" si="9"/>
        <v>98.39</v>
      </c>
    </row>
    <row r="603" spans="1:10" x14ac:dyDescent="0.25">
      <c r="A603" t="s">
        <v>114</v>
      </c>
      <c r="B603" t="s">
        <v>115</v>
      </c>
      <c r="C603" t="s">
        <v>24</v>
      </c>
      <c r="D603" t="s">
        <v>25</v>
      </c>
      <c r="J603">
        <f t="shared" si="9"/>
        <v>0</v>
      </c>
    </row>
    <row r="604" spans="1:10" x14ac:dyDescent="0.25">
      <c r="A604" t="s">
        <v>114</v>
      </c>
      <c r="B604" t="s">
        <v>115</v>
      </c>
      <c r="C604" t="s">
        <v>26</v>
      </c>
      <c r="D604" t="s">
        <v>27</v>
      </c>
      <c r="E604">
        <v>0</v>
      </c>
      <c r="I604">
        <v>0</v>
      </c>
      <c r="J604">
        <f t="shared" si="9"/>
        <v>0</v>
      </c>
    </row>
    <row r="605" spans="1:10" x14ac:dyDescent="0.25">
      <c r="A605" t="s">
        <v>114</v>
      </c>
      <c r="B605" t="s">
        <v>115</v>
      </c>
      <c r="C605" t="s">
        <v>28</v>
      </c>
      <c r="D605" t="s">
        <v>29</v>
      </c>
      <c r="E605">
        <v>8</v>
      </c>
      <c r="J605">
        <f t="shared" si="9"/>
        <v>8</v>
      </c>
    </row>
    <row r="606" spans="1:10" x14ac:dyDescent="0.25">
      <c r="A606" t="s">
        <v>114</v>
      </c>
      <c r="B606" t="s">
        <v>115</v>
      </c>
      <c r="C606" t="s">
        <v>30</v>
      </c>
      <c r="D606" t="s">
        <v>31</v>
      </c>
      <c r="E606">
        <v>13.6744569580364</v>
      </c>
      <c r="F606">
        <v>23.406555709300399</v>
      </c>
      <c r="G606">
        <v>23.6747939359567</v>
      </c>
      <c r="H606">
        <v>24.902583651285902</v>
      </c>
      <c r="J606">
        <f t="shared" si="9"/>
        <v>24.902583651285902</v>
      </c>
    </row>
    <row r="607" spans="1:10" x14ac:dyDescent="0.25">
      <c r="A607" t="s">
        <v>114</v>
      </c>
      <c r="B607" t="s">
        <v>115</v>
      </c>
      <c r="C607" t="s">
        <v>32</v>
      </c>
      <c r="D607" t="s">
        <v>33</v>
      </c>
      <c r="E607">
        <v>9</v>
      </c>
      <c r="F607">
        <v>9</v>
      </c>
      <c r="G607">
        <v>9</v>
      </c>
      <c r="H607">
        <v>9</v>
      </c>
      <c r="I607">
        <v>9</v>
      </c>
      <c r="J607">
        <f t="shared" si="9"/>
        <v>9</v>
      </c>
    </row>
    <row r="608" spans="1:10" x14ac:dyDescent="0.25">
      <c r="A608" t="s">
        <v>114</v>
      </c>
      <c r="B608" t="s">
        <v>115</v>
      </c>
      <c r="C608" t="s">
        <v>34</v>
      </c>
      <c r="D608" t="s">
        <v>35</v>
      </c>
      <c r="E608">
        <v>90.952377319335895</v>
      </c>
      <c r="F608">
        <v>92.380950927734403</v>
      </c>
      <c r="G608">
        <v>90</v>
      </c>
      <c r="H608">
        <v>91.037734985351605</v>
      </c>
      <c r="I608">
        <v>91.509437561035199</v>
      </c>
      <c r="J608">
        <f t="shared" si="9"/>
        <v>92.380950927734403</v>
      </c>
    </row>
    <row r="609" spans="1:10" x14ac:dyDescent="0.25">
      <c r="A609" t="s">
        <v>114</v>
      </c>
      <c r="B609" t="s">
        <v>115</v>
      </c>
      <c r="C609" t="s">
        <v>36</v>
      </c>
      <c r="D609" t="s">
        <v>37</v>
      </c>
      <c r="J609">
        <f t="shared" si="9"/>
        <v>0</v>
      </c>
    </row>
    <row r="610" spans="1:10" x14ac:dyDescent="0.25">
      <c r="A610" t="s">
        <v>114</v>
      </c>
      <c r="B610" t="s">
        <v>115</v>
      </c>
      <c r="C610" t="s">
        <v>38</v>
      </c>
      <c r="D610" t="s">
        <v>39</v>
      </c>
      <c r="J610">
        <f t="shared" si="9"/>
        <v>0</v>
      </c>
    </row>
    <row r="611" spans="1:10" x14ac:dyDescent="0.25">
      <c r="A611" t="s">
        <v>114</v>
      </c>
      <c r="B611" t="s">
        <v>115</v>
      </c>
      <c r="C611" t="s">
        <v>40</v>
      </c>
      <c r="D611" t="s">
        <v>41</v>
      </c>
      <c r="E611">
        <v>91.100279</v>
      </c>
      <c r="F611">
        <v>90.751557000000005</v>
      </c>
      <c r="G611">
        <v>90.059071000000003</v>
      </c>
      <c r="H611">
        <v>90.651696000000001</v>
      </c>
      <c r="J611">
        <f t="shared" si="9"/>
        <v>91.100279</v>
      </c>
    </row>
    <row r="612" spans="1:10" x14ac:dyDescent="0.25">
      <c r="A612" t="s">
        <v>114</v>
      </c>
      <c r="B612" t="s">
        <v>115</v>
      </c>
      <c r="C612" t="s">
        <v>42</v>
      </c>
      <c r="D612" t="s">
        <v>43</v>
      </c>
      <c r="J612">
        <f t="shared" si="9"/>
        <v>0</v>
      </c>
    </row>
    <row r="613" spans="1:10" x14ac:dyDescent="0.25">
      <c r="A613" t="s">
        <v>114</v>
      </c>
      <c r="B613" t="s">
        <v>115</v>
      </c>
      <c r="C613" t="s">
        <v>44</v>
      </c>
      <c r="D613" t="s">
        <v>45</v>
      </c>
      <c r="E613">
        <v>3.5</v>
      </c>
      <c r="J613">
        <f t="shared" si="9"/>
        <v>3.5</v>
      </c>
    </row>
    <row r="614" spans="1:10" x14ac:dyDescent="0.25">
      <c r="A614" t="s">
        <v>116</v>
      </c>
      <c r="B614" t="s">
        <v>117</v>
      </c>
      <c r="C614" t="s">
        <v>11</v>
      </c>
      <c r="D614" t="s">
        <v>12</v>
      </c>
      <c r="H614">
        <v>46.48</v>
      </c>
      <c r="J614">
        <f t="shared" si="9"/>
        <v>46.48</v>
      </c>
    </row>
    <row r="615" spans="1:10" x14ac:dyDescent="0.25">
      <c r="A615" t="s">
        <v>116</v>
      </c>
      <c r="B615" t="s">
        <v>117</v>
      </c>
      <c r="C615" t="s">
        <v>14</v>
      </c>
      <c r="D615" t="s">
        <v>15</v>
      </c>
      <c r="H615">
        <v>38.74</v>
      </c>
      <c r="J615">
        <f t="shared" si="9"/>
        <v>38.74</v>
      </c>
    </row>
    <row r="616" spans="1:10" x14ac:dyDescent="0.25">
      <c r="A616" t="s">
        <v>116</v>
      </c>
      <c r="B616" t="s">
        <v>117</v>
      </c>
      <c r="C616" t="s">
        <v>16</v>
      </c>
      <c r="D616" t="s">
        <v>17</v>
      </c>
      <c r="H616">
        <v>54.68</v>
      </c>
      <c r="J616">
        <f t="shared" si="9"/>
        <v>54.68</v>
      </c>
    </row>
    <row r="617" spans="1:10" x14ac:dyDescent="0.25">
      <c r="A617" t="s">
        <v>116</v>
      </c>
      <c r="B617" t="s">
        <v>117</v>
      </c>
      <c r="C617" t="s">
        <v>18</v>
      </c>
      <c r="D617" t="s">
        <v>19</v>
      </c>
      <c r="H617">
        <v>34.69</v>
      </c>
      <c r="J617">
        <f t="shared" si="9"/>
        <v>34.69</v>
      </c>
    </row>
    <row r="618" spans="1:10" x14ac:dyDescent="0.25">
      <c r="A618" t="s">
        <v>116</v>
      </c>
      <c r="B618" t="s">
        <v>117</v>
      </c>
      <c r="C618" t="s">
        <v>20</v>
      </c>
      <c r="D618" t="s">
        <v>21</v>
      </c>
      <c r="H618">
        <v>46.82</v>
      </c>
      <c r="J618">
        <f t="shared" si="9"/>
        <v>46.82</v>
      </c>
    </row>
    <row r="619" spans="1:10" x14ac:dyDescent="0.25">
      <c r="A619" t="s">
        <v>116</v>
      </c>
      <c r="B619" t="s">
        <v>117</v>
      </c>
      <c r="C619" t="s">
        <v>22</v>
      </c>
      <c r="D619" t="s">
        <v>23</v>
      </c>
      <c r="H619">
        <v>38.97</v>
      </c>
      <c r="J619">
        <f t="shared" si="9"/>
        <v>38.97</v>
      </c>
    </row>
    <row r="620" spans="1:10" x14ac:dyDescent="0.25">
      <c r="A620" t="s">
        <v>116</v>
      </c>
      <c r="B620" t="s">
        <v>117</v>
      </c>
      <c r="C620" t="s">
        <v>24</v>
      </c>
      <c r="D620" t="s">
        <v>25</v>
      </c>
      <c r="J620">
        <f t="shared" si="9"/>
        <v>0</v>
      </c>
    </row>
    <row r="621" spans="1:10" x14ac:dyDescent="0.25">
      <c r="A621" t="s">
        <v>116</v>
      </c>
      <c r="B621" t="s">
        <v>117</v>
      </c>
      <c r="C621" t="s">
        <v>26</v>
      </c>
      <c r="D621" t="s">
        <v>27</v>
      </c>
      <c r="J621">
        <f t="shared" si="9"/>
        <v>0</v>
      </c>
    </row>
    <row r="622" spans="1:10" x14ac:dyDescent="0.25">
      <c r="A622" t="s">
        <v>116</v>
      </c>
      <c r="B622" t="s">
        <v>117</v>
      </c>
      <c r="C622" t="s">
        <v>28</v>
      </c>
      <c r="D622" t="s">
        <v>29</v>
      </c>
      <c r="E622">
        <v>3</v>
      </c>
      <c r="J622">
        <f t="shared" si="9"/>
        <v>3</v>
      </c>
    </row>
    <row r="623" spans="1:10" x14ac:dyDescent="0.25">
      <c r="A623" t="s">
        <v>116</v>
      </c>
      <c r="B623" t="s">
        <v>117</v>
      </c>
      <c r="C623" t="s">
        <v>30</v>
      </c>
      <c r="D623" t="s">
        <v>31</v>
      </c>
      <c r="E623">
        <v>31.448848674036402</v>
      </c>
      <c r="J623">
        <f t="shared" si="9"/>
        <v>31.448848674036402</v>
      </c>
    </row>
    <row r="624" spans="1:10" x14ac:dyDescent="0.25">
      <c r="A624" t="s">
        <v>116</v>
      </c>
      <c r="B624" t="s">
        <v>117</v>
      </c>
      <c r="C624" t="s">
        <v>32</v>
      </c>
      <c r="D624" t="s">
        <v>33</v>
      </c>
      <c r="E624">
        <v>8</v>
      </c>
      <c r="F624">
        <v>8</v>
      </c>
      <c r="G624">
        <v>8</v>
      </c>
      <c r="H624">
        <v>8</v>
      </c>
      <c r="I624">
        <v>8</v>
      </c>
      <c r="J624">
        <f t="shared" si="9"/>
        <v>8</v>
      </c>
    </row>
    <row r="625" spans="1:10" x14ac:dyDescent="0.25">
      <c r="A625" t="s">
        <v>116</v>
      </c>
      <c r="B625" t="s">
        <v>117</v>
      </c>
      <c r="C625" t="s">
        <v>34</v>
      </c>
      <c r="D625" t="s">
        <v>35</v>
      </c>
      <c r="E625">
        <v>38.095237731933601</v>
      </c>
      <c r="F625">
        <v>40.476188659667997</v>
      </c>
      <c r="G625">
        <v>38.095237731933601</v>
      </c>
      <c r="H625">
        <v>37.735847473144503</v>
      </c>
      <c r="I625">
        <v>37.264152526855497</v>
      </c>
      <c r="J625">
        <f t="shared" si="9"/>
        <v>40.476188659667997</v>
      </c>
    </row>
    <row r="626" spans="1:10" x14ac:dyDescent="0.25">
      <c r="A626" t="s">
        <v>116</v>
      </c>
      <c r="B626" t="s">
        <v>117</v>
      </c>
      <c r="C626" t="s">
        <v>36</v>
      </c>
      <c r="D626" t="s">
        <v>37</v>
      </c>
      <c r="J626">
        <f t="shared" si="9"/>
        <v>0</v>
      </c>
    </row>
    <row r="627" spans="1:10" x14ac:dyDescent="0.25">
      <c r="A627" t="s">
        <v>116</v>
      </c>
      <c r="B627" t="s">
        <v>117</v>
      </c>
      <c r="C627" t="s">
        <v>38</v>
      </c>
      <c r="D627" t="s">
        <v>39</v>
      </c>
      <c r="J627">
        <f t="shared" si="9"/>
        <v>0</v>
      </c>
    </row>
    <row r="628" spans="1:10" x14ac:dyDescent="0.25">
      <c r="A628" t="s">
        <v>116</v>
      </c>
      <c r="B628" t="s">
        <v>117</v>
      </c>
      <c r="C628" t="s">
        <v>40</v>
      </c>
      <c r="D628" t="s">
        <v>41</v>
      </c>
      <c r="E628">
        <v>72.512253999999999</v>
      </c>
      <c r="F628">
        <v>73.216955999999996</v>
      </c>
      <c r="G628">
        <v>71.649817999999996</v>
      </c>
      <c r="H628">
        <v>74.923299999999998</v>
      </c>
      <c r="J628">
        <f t="shared" si="9"/>
        <v>74.923299999999998</v>
      </c>
    </row>
    <row r="629" spans="1:10" x14ac:dyDescent="0.25">
      <c r="A629" t="s">
        <v>116</v>
      </c>
      <c r="B629" t="s">
        <v>117</v>
      </c>
      <c r="C629" t="s">
        <v>42</v>
      </c>
      <c r="D629" t="s">
        <v>43</v>
      </c>
      <c r="J629">
        <f t="shared" si="9"/>
        <v>0</v>
      </c>
    </row>
    <row r="630" spans="1:10" x14ac:dyDescent="0.25">
      <c r="A630" t="s">
        <v>116</v>
      </c>
      <c r="B630" t="s">
        <v>117</v>
      </c>
      <c r="C630" t="s">
        <v>44</v>
      </c>
      <c r="D630" t="s">
        <v>45</v>
      </c>
      <c r="E630">
        <v>32</v>
      </c>
      <c r="J630">
        <f t="shared" si="9"/>
        <v>32</v>
      </c>
    </row>
    <row r="631" spans="1:10" x14ac:dyDescent="0.25">
      <c r="A631" t="s">
        <v>118</v>
      </c>
      <c r="B631" t="s">
        <v>119</v>
      </c>
      <c r="C631" t="s">
        <v>11</v>
      </c>
      <c r="D631" t="s">
        <v>12</v>
      </c>
      <c r="J631">
        <f t="shared" si="9"/>
        <v>0</v>
      </c>
    </row>
    <row r="632" spans="1:10" x14ac:dyDescent="0.25">
      <c r="A632" t="s">
        <v>118</v>
      </c>
      <c r="B632" t="s">
        <v>119</v>
      </c>
      <c r="C632" t="s">
        <v>14</v>
      </c>
      <c r="D632" t="s">
        <v>15</v>
      </c>
      <c r="J632">
        <f t="shared" si="9"/>
        <v>0</v>
      </c>
    </row>
    <row r="633" spans="1:10" x14ac:dyDescent="0.25">
      <c r="A633" t="s">
        <v>118</v>
      </c>
      <c r="B633" t="s">
        <v>119</v>
      </c>
      <c r="C633" t="s">
        <v>16</v>
      </c>
      <c r="D633" t="s">
        <v>17</v>
      </c>
      <c r="J633">
        <f t="shared" si="9"/>
        <v>0</v>
      </c>
    </row>
    <row r="634" spans="1:10" x14ac:dyDescent="0.25">
      <c r="A634" t="s">
        <v>118</v>
      </c>
      <c r="B634" t="s">
        <v>119</v>
      </c>
      <c r="C634" t="s">
        <v>18</v>
      </c>
      <c r="D634" t="s">
        <v>19</v>
      </c>
      <c r="J634">
        <f t="shared" si="9"/>
        <v>0</v>
      </c>
    </row>
    <row r="635" spans="1:10" x14ac:dyDescent="0.25">
      <c r="A635" t="s">
        <v>118</v>
      </c>
      <c r="B635" t="s">
        <v>119</v>
      </c>
      <c r="C635" t="s">
        <v>20</v>
      </c>
      <c r="D635" t="s">
        <v>21</v>
      </c>
      <c r="J635">
        <f t="shared" si="9"/>
        <v>0</v>
      </c>
    </row>
    <row r="636" spans="1:10" x14ac:dyDescent="0.25">
      <c r="A636" t="s">
        <v>118</v>
      </c>
      <c r="B636" t="s">
        <v>119</v>
      </c>
      <c r="C636" t="s">
        <v>22</v>
      </c>
      <c r="D636" t="s">
        <v>23</v>
      </c>
      <c r="J636">
        <f t="shared" si="9"/>
        <v>0</v>
      </c>
    </row>
    <row r="637" spans="1:10" x14ac:dyDescent="0.25">
      <c r="A637" t="s">
        <v>118</v>
      </c>
      <c r="B637" t="s">
        <v>119</v>
      </c>
      <c r="C637" t="s">
        <v>24</v>
      </c>
      <c r="D637" t="s">
        <v>25</v>
      </c>
      <c r="J637">
        <f t="shared" si="9"/>
        <v>0</v>
      </c>
    </row>
    <row r="638" spans="1:10" x14ac:dyDescent="0.25">
      <c r="A638" t="s">
        <v>118</v>
      </c>
      <c r="B638" t="s">
        <v>119</v>
      </c>
      <c r="C638" t="s">
        <v>26</v>
      </c>
      <c r="D638" t="s">
        <v>27</v>
      </c>
      <c r="J638">
        <f t="shared" si="9"/>
        <v>0</v>
      </c>
    </row>
    <row r="639" spans="1:10" x14ac:dyDescent="0.25">
      <c r="A639" t="s">
        <v>118</v>
      </c>
      <c r="B639" t="s">
        <v>119</v>
      </c>
      <c r="C639" t="s">
        <v>28</v>
      </c>
      <c r="D639" t="s">
        <v>29</v>
      </c>
      <c r="E639">
        <v>2</v>
      </c>
      <c r="J639">
        <f t="shared" si="9"/>
        <v>2</v>
      </c>
    </row>
    <row r="640" spans="1:10" x14ac:dyDescent="0.25">
      <c r="A640" t="s">
        <v>118</v>
      </c>
      <c r="B640" t="s">
        <v>119</v>
      </c>
      <c r="C640" t="s">
        <v>30</v>
      </c>
      <c r="D640" t="s">
        <v>31</v>
      </c>
      <c r="J640">
        <f t="shared" si="9"/>
        <v>0</v>
      </c>
    </row>
    <row r="641" spans="1:10" x14ac:dyDescent="0.25">
      <c r="A641" t="s">
        <v>118</v>
      </c>
      <c r="B641" t="s">
        <v>119</v>
      </c>
      <c r="C641" t="s">
        <v>32</v>
      </c>
      <c r="D641" t="s">
        <v>33</v>
      </c>
      <c r="J641">
        <f t="shared" si="9"/>
        <v>0</v>
      </c>
    </row>
    <row r="642" spans="1:10" x14ac:dyDescent="0.25">
      <c r="A642" t="s">
        <v>118</v>
      </c>
      <c r="B642" t="s">
        <v>119</v>
      </c>
      <c r="C642" t="s">
        <v>34</v>
      </c>
      <c r="D642" t="s">
        <v>35</v>
      </c>
      <c r="E642">
        <v>74.761901855468807</v>
      </c>
      <c r="F642">
        <v>71.904762268066406</v>
      </c>
      <c r="G642">
        <v>65.714286804199205</v>
      </c>
      <c r="H642">
        <v>64.622642517089801</v>
      </c>
      <c r="I642">
        <v>66.037734985351605</v>
      </c>
      <c r="J642">
        <f t="shared" si="9"/>
        <v>74.761901855468807</v>
      </c>
    </row>
    <row r="643" spans="1:10" x14ac:dyDescent="0.25">
      <c r="A643" t="s">
        <v>118</v>
      </c>
      <c r="B643" t="s">
        <v>119</v>
      </c>
      <c r="C643" t="s">
        <v>36</v>
      </c>
      <c r="D643" t="s">
        <v>37</v>
      </c>
      <c r="J643">
        <f t="shared" ref="J643:J706" si="10">MAX(E643:I643)</f>
        <v>0</v>
      </c>
    </row>
    <row r="644" spans="1:10" x14ac:dyDescent="0.25">
      <c r="A644" t="s">
        <v>118</v>
      </c>
      <c r="B644" t="s">
        <v>119</v>
      </c>
      <c r="C644" t="s">
        <v>38</v>
      </c>
      <c r="D644" t="s">
        <v>39</v>
      </c>
      <c r="J644">
        <f t="shared" si="10"/>
        <v>0</v>
      </c>
    </row>
    <row r="645" spans="1:10" x14ac:dyDescent="0.25">
      <c r="A645" t="s">
        <v>118</v>
      </c>
      <c r="B645" t="s">
        <v>119</v>
      </c>
      <c r="C645" t="s">
        <v>40</v>
      </c>
      <c r="D645" t="s">
        <v>41</v>
      </c>
      <c r="E645">
        <v>68.506192999999996</v>
      </c>
      <c r="F645">
        <v>69.209863999999996</v>
      </c>
      <c r="G645">
        <v>62.886150999999998</v>
      </c>
      <c r="H645">
        <v>69.017990999999995</v>
      </c>
      <c r="J645">
        <f t="shared" si="10"/>
        <v>69.209863999999996</v>
      </c>
    </row>
    <row r="646" spans="1:10" x14ac:dyDescent="0.25">
      <c r="A646" t="s">
        <v>118</v>
      </c>
      <c r="B646" t="s">
        <v>119</v>
      </c>
      <c r="C646" t="s">
        <v>42</v>
      </c>
      <c r="D646" t="s">
        <v>43</v>
      </c>
      <c r="J646">
        <f t="shared" si="10"/>
        <v>0</v>
      </c>
    </row>
    <row r="647" spans="1:10" x14ac:dyDescent="0.25">
      <c r="A647" t="s">
        <v>118</v>
      </c>
      <c r="B647" t="s">
        <v>119</v>
      </c>
      <c r="C647" t="s">
        <v>44</v>
      </c>
      <c r="D647" t="s">
        <v>45</v>
      </c>
      <c r="E647">
        <v>40</v>
      </c>
      <c r="J647">
        <f t="shared" si="10"/>
        <v>40</v>
      </c>
    </row>
    <row r="648" spans="1:10" x14ac:dyDescent="0.25">
      <c r="A648" t="s">
        <v>120</v>
      </c>
      <c r="B648" t="s">
        <v>121</v>
      </c>
      <c r="C648" t="s">
        <v>11</v>
      </c>
      <c r="D648" t="s">
        <v>12</v>
      </c>
      <c r="G648">
        <v>99.53</v>
      </c>
      <c r="J648">
        <f t="shared" si="10"/>
        <v>99.53</v>
      </c>
    </row>
    <row r="649" spans="1:10" x14ac:dyDescent="0.25">
      <c r="A649" t="s">
        <v>120</v>
      </c>
      <c r="B649" t="s">
        <v>121</v>
      </c>
      <c r="C649" t="s">
        <v>14</v>
      </c>
      <c r="D649" t="s">
        <v>15</v>
      </c>
      <c r="G649">
        <v>99.08</v>
      </c>
      <c r="J649">
        <f t="shared" si="10"/>
        <v>99.08</v>
      </c>
    </row>
    <row r="650" spans="1:10" x14ac:dyDescent="0.25">
      <c r="A650" t="s">
        <v>120</v>
      </c>
      <c r="B650" t="s">
        <v>121</v>
      </c>
      <c r="C650" t="s">
        <v>16</v>
      </c>
      <c r="D650" t="s">
        <v>17</v>
      </c>
      <c r="G650">
        <v>100</v>
      </c>
      <c r="J650">
        <f t="shared" si="10"/>
        <v>100</v>
      </c>
    </row>
    <row r="651" spans="1:10" x14ac:dyDescent="0.25">
      <c r="A651" t="s">
        <v>120</v>
      </c>
      <c r="B651" t="s">
        <v>121</v>
      </c>
      <c r="C651" t="s">
        <v>18</v>
      </c>
      <c r="D651" t="s">
        <v>19</v>
      </c>
      <c r="G651">
        <v>98.82</v>
      </c>
      <c r="J651">
        <f t="shared" si="10"/>
        <v>98.82</v>
      </c>
    </row>
    <row r="652" spans="1:10" x14ac:dyDescent="0.25">
      <c r="A652" t="s">
        <v>120</v>
      </c>
      <c r="B652" t="s">
        <v>121</v>
      </c>
      <c r="C652" t="s">
        <v>20</v>
      </c>
      <c r="D652" t="s">
        <v>21</v>
      </c>
      <c r="G652">
        <v>96.47</v>
      </c>
      <c r="J652">
        <f t="shared" si="10"/>
        <v>96.47</v>
      </c>
    </row>
    <row r="653" spans="1:10" x14ac:dyDescent="0.25">
      <c r="A653" t="s">
        <v>120</v>
      </c>
      <c r="B653" t="s">
        <v>121</v>
      </c>
      <c r="C653" t="s">
        <v>22</v>
      </c>
      <c r="D653" t="s">
        <v>23</v>
      </c>
      <c r="G653">
        <v>98.31</v>
      </c>
      <c r="J653">
        <f t="shared" si="10"/>
        <v>98.31</v>
      </c>
    </row>
    <row r="654" spans="1:10" x14ac:dyDescent="0.25">
      <c r="A654" t="s">
        <v>120</v>
      </c>
      <c r="B654" t="s">
        <v>121</v>
      </c>
      <c r="C654" t="s">
        <v>24</v>
      </c>
      <c r="D654" t="s">
        <v>25</v>
      </c>
      <c r="J654">
        <f t="shared" si="10"/>
        <v>0</v>
      </c>
    </row>
    <row r="655" spans="1:10" x14ac:dyDescent="0.25">
      <c r="A655" t="s">
        <v>120</v>
      </c>
      <c r="B655" t="s">
        <v>121</v>
      </c>
      <c r="C655" t="s">
        <v>26</v>
      </c>
      <c r="D655" t="s">
        <v>27</v>
      </c>
      <c r="F655">
        <v>2.8</v>
      </c>
      <c r="J655">
        <f t="shared" si="10"/>
        <v>2.8</v>
      </c>
    </row>
    <row r="656" spans="1:10" x14ac:dyDescent="0.25">
      <c r="A656" t="s">
        <v>120</v>
      </c>
      <c r="B656" t="s">
        <v>121</v>
      </c>
      <c r="C656" t="s">
        <v>28</v>
      </c>
      <c r="D656" t="s">
        <v>29</v>
      </c>
      <c r="E656">
        <v>6</v>
      </c>
      <c r="J656">
        <f t="shared" si="10"/>
        <v>6</v>
      </c>
    </row>
    <row r="657" spans="1:10" x14ac:dyDescent="0.25">
      <c r="A657" t="s">
        <v>120</v>
      </c>
      <c r="B657" t="s">
        <v>121</v>
      </c>
      <c r="C657" t="s">
        <v>30</v>
      </c>
      <c r="D657" t="s">
        <v>31</v>
      </c>
      <c r="J657">
        <f t="shared" si="10"/>
        <v>0</v>
      </c>
    </row>
    <row r="658" spans="1:10" x14ac:dyDescent="0.25">
      <c r="A658" t="s">
        <v>120</v>
      </c>
      <c r="B658" t="s">
        <v>121</v>
      </c>
      <c r="C658" t="s">
        <v>32</v>
      </c>
      <c r="D658" t="s">
        <v>33</v>
      </c>
      <c r="E658">
        <v>10</v>
      </c>
      <c r="F658">
        <v>10</v>
      </c>
      <c r="G658">
        <v>10</v>
      </c>
      <c r="H658">
        <v>11</v>
      </c>
      <c r="I658">
        <v>11</v>
      </c>
      <c r="J658">
        <f t="shared" si="10"/>
        <v>11</v>
      </c>
    </row>
    <row r="659" spans="1:10" x14ac:dyDescent="0.25">
      <c r="A659" t="s">
        <v>120</v>
      </c>
      <c r="B659" t="s">
        <v>121</v>
      </c>
      <c r="C659" t="s">
        <v>34</v>
      </c>
      <c r="D659" t="s">
        <v>35</v>
      </c>
      <c r="E659">
        <v>98.571426391601605</v>
      </c>
      <c r="F659">
        <v>99.523811340332003</v>
      </c>
      <c r="G659">
        <v>99.523811340332003</v>
      </c>
      <c r="H659">
        <v>99.528305053710895</v>
      </c>
      <c r="I659">
        <v>99.528305053710895</v>
      </c>
      <c r="J659">
        <f t="shared" si="10"/>
        <v>99.528305053710895</v>
      </c>
    </row>
    <row r="660" spans="1:10" x14ac:dyDescent="0.25">
      <c r="A660" t="s">
        <v>120</v>
      </c>
      <c r="B660" t="s">
        <v>121</v>
      </c>
      <c r="C660" t="s">
        <v>36</v>
      </c>
      <c r="D660" t="s">
        <v>37</v>
      </c>
      <c r="J660">
        <f t="shared" si="10"/>
        <v>0</v>
      </c>
    </row>
    <row r="661" spans="1:10" x14ac:dyDescent="0.25">
      <c r="A661" t="s">
        <v>120</v>
      </c>
      <c r="B661" t="s">
        <v>121</v>
      </c>
      <c r="C661" t="s">
        <v>38</v>
      </c>
      <c r="D661" t="s">
        <v>39</v>
      </c>
      <c r="J661">
        <f t="shared" si="10"/>
        <v>0</v>
      </c>
    </row>
    <row r="662" spans="1:10" x14ac:dyDescent="0.25">
      <c r="A662" t="s">
        <v>120</v>
      </c>
      <c r="B662" t="s">
        <v>121</v>
      </c>
      <c r="C662" t="s">
        <v>40</v>
      </c>
      <c r="D662" t="s">
        <v>41</v>
      </c>
      <c r="E662">
        <v>93.139773000000005</v>
      </c>
      <c r="F662">
        <v>93.323884000000007</v>
      </c>
      <c r="G662">
        <v>93.082975000000005</v>
      </c>
      <c r="H662">
        <v>92.804719000000006</v>
      </c>
      <c r="J662">
        <f t="shared" si="10"/>
        <v>93.323884000000007</v>
      </c>
    </row>
    <row r="663" spans="1:10" x14ac:dyDescent="0.25">
      <c r="A663" t="s">
        <v>120</v>
      </c>
      <c r="B663" t="s">
        <v>121</v>
      </c>
      <c r="C663" t="s">
        <v>42</v>
      </c>
      <c r="D663" t="s">
        <v>43</v>
      </c>
      <c r="J663">
        <f t="shared" si="10"/>
        <v>0</v>
      </c>
    </row>
    <row r="664" spans="1:10" x14ac:dyDescent="0.25">
      <c r="A664" t="s">
        <v>120</v>
      </c>
      <c r="B664" t="s">
        <v>121</v>
      </c>
      <c r="C664" t="s">
        <v>44</v>
      </c>
      <c r="D664" t="s">
        <v>45</v>
      </c>
      <c r="E664">
        <v>13</v>
      </c>
      <c r="J664">
        <f t="shared" si="10"/>
        <v>13</v>
      </c>
    </row>
    <row r="665" spans="1:10" x14ac:dyDescent="0.25">
      <c r="A665" t="s">
        <v>122</v>
      </c>
      <c r="B665" t="s">
        <v>123</v>
      </c>
      <c r="C665" t="s">
        <v>11</v>
      </c>
      <c r="D665" t="s">
        <v>12</v>
      </c>
      <c r="G665">
        <v>99.24</v>
      </c>
      <c r="J665">
        <f t="shared" si="10"/>
        <v>99.24</v>
      </c>
    </row>
    <row r="666" spans="1:10" x14ac:dyDescent="0.25">
      <c r="A666" t="s">
        <v>122</v>
      </c>
      <c r="B666" t="s">
        <v>123</v>
      </c>
      <c r="C666" t="s">
        <v>14</v>
      </c>
      <c r="D666" t="s">
        <v>15</v>
      </c>
      <c r="G666">
        <v>100</v>
      </c>
      <c r="J666">
        <f t="shared" si="10"/>
        <v>100</v>
      </c>
    </row>
    <row r="667" spans="1:10" x14ac:dyDescent="0.25">
      <c r="A667" t="s">
        <v>122</v>
      </c>
      <c r="B667" t="s">
        <v>123</v>
      </c>
      <c r="C667" t="s">
        <v>16</v>
      </c>
      <c r="D667" t="s">
        <v>17</v>
      </c>
      <c r="G667">
        <v>98.42</v>
      </c>
      <c r="J667">
        <f t="shared" si="10"/>
        <v>98.42</v>
      </c>
    </row>
    <row r="668" spans="1:10" x14ac:dyDescent="0.25">
      <c r="A668" t="s">
        <v>122</v>
      </c>
      <c r="B668" t="s">
        <v>123</v>
      </c>
      <c r="C668" t="s">
        <v>18</v>
      </c>
      <c r="D668" t="s">
        <v>19</v>
      </c>
      <c r="G668">
        <v>98.4</v>
      </c>
      <c r="J668">
        <f t="shared" si="10"/>
        <v>98.4</v>
      </c>
    </row>
    <row r="669" spans="1:10" x14ac:dyDescent="0.25">
      <c r="A669" t="s">
        <v>122</v>
      </c>
      <c r="B669" t="s">
        <v>123</v>
      </c>
      <c r="C669" t="s">
        <v>20</v>
      </c>
      <c r="D669" t="s">
        <v>21</v>
      </c>
      <c r="G669">
        <v>99.24</v>
      </c>
      <c r="J669">
        <f t="shared" si="10"/>
        <v>99.24</v>
      </c>
    </row>
    <row r="670" spans="1:10" x14ac:dyDescent="0.25">
      <c r="A670" t="s">
        <v>122</v>
      </c>
      <c r="B670" t="s">
        <v>123</v>
      </c>
      <c r="C670" t="s">
        <v>22</v>
      </c>
      <c r="D670" t="s">
        <v>23</v>
      </c>
      <c r="G670">
        <v>95.87</v>
      </c>
      <c r="J670">
        <f t="shared" si="10"/>
        <v>95.87</v>
      </c>
    </row>
    <row r="671" spans="1:10" x14ac:dyDescent="0.25">
      <c r="A671" t="s">
        <v>122</v>
      </c>
      <c r="B671" t="s">
        <v>123</v>
      </c>
      <c r="C671" t="s">
        <v>24</v>
      </c>
      <c r="D671" t="s">
        <v>25</v>
      </c>
      <c r="J671">
        <f t="shared" si="10"/>
        <v>0</v>
      </c>
    </row>
    <row r="672" spans="1:10" x14ac:dyDescent="0.25">
      <c r="A672" t="s">
        <v>122</v>
      </c>
      <c r="B672" t="s">
        <v>123</v>
      </c>
      <c r="C672" t="s">
        <v>26</v>
      </c>
      <c r="D672" t="s">
        <v>27</v>
      </c>
      <c r="G672">
        <v>1.6</v>
      </c>
      <c r="J672">
        <f t="shared" si="10"/>
        <v>1.6</v>
      </c>
    </row>
    <row r="673" spans="1:10" x14ac:dyDescent="0.25">
      <c r="A673" t="s">
        <v>122</v>
      </c>
      <c r="B673" t="s">
        <v>123</v>
      </c>
      <c r="C673" t="s">
        <v>28</v>
      </c>
      <c r="D673" t="s">
        <v>29</v>
      </c>
      <c r="E673">
        <v>8</v>
      </c>
      <c r="J673">
        <f t="shared" si="10"/>
        <v>8</v>
      </c>
    </row>
    <row r="674" spans="1:10" x14ac:dyDescent="0.25">
      <c r="A674" t="s">
        <v>122</v>
      </c>
      <c r="B674" t="s">
        <v>123</v>
      </c>
      <c r="C674" t="s">
        <v>30</v>
      </c>
      <c r="D674" t="s">
        <v>31</v>
      </c>
      <c r="E674">
        <v>105.19541348211</v>
      </c>
      <c r="F674">
        <v>123.148570476633</v>
      </c>
      <c r="G674">
        <v>116.607883179247</v>
      </c>
      <c r="H674">
        <v>98.053313298950997</v>
      </c>
      <c r="J674">
        <f t="shared" si="10"/>
        <v>123.148570476633</v>
      </c>
    </row>
    <row r="675" spans="1:10" x14ac:dyDescent="0.25">
      <c r="A675" t="s">
        <v>122</v>
      </c>
      <c r="B675" t="s">
        <v>123</v>
      </c>
      <c r="C675" t="s">
        <v>32</v>
      </c>
      <c r="D675" t="s">
        <v>33</v>
      </c>
      <c r="E675">
        <v>10</v>
      </c>
      <c r="F675">
        <v>13</v>
      </c>
      <c r="G675">
        <v>13</v>
      </c>
      <c r="H675">
        <v>13</v>
      </c>
      <c r="I675">
        <v>13</v>
      </c>
      <c r="J675">
        <f t="shared" si="10"/>
        <v>13</v>
      </c>
    </row>
    <row r="676" spans="1:10" x14ac:dyDescent="0.25">
      <c r="A676" t="s">
        <v>122</v>
      </c>
      <c r="B676" t="s">
        <v>123</v>
      </c>
      <c r="C676" t="s">
        <v>34</v>
      </c>
      <c r="D676" t="s">
        <v>35</v>
      </c>
      <c r="E676">
        <v>88.571426391601605</v>
      </c>
      <c r="F676">
        <v>83.809524536132798</v>
      </c>
      <c r="G676">
        <v>89.047622680664105</v>
      </c>
      <c r="H676">
        <v>85.377357482910199</v>
      </c>
      <c r="I676">
        <v>83.962265014648395</v>
      </c>
      <c r="J676">
        <f t="shared" si="10"/>
        <v>89.047622680664105</v>
      </c>
    </row>
    <row r="677" spans="1:10" x14ac:dyDescent="0.25">
      <c r="A677" t="s">
        <v>122</v>
      </c>
      <c r="B677" t="s">
        <v>123</v>
      </c>
      <c r="C677" t="s">
        <v>36</v>
      </c>
      <c r="D677" t="s">
        <v>37</v>
      </c>
      <c r="J677">
        <f t="shared" si="10"/>
        <v>0</v>
      </c>
    </row>
    <row r="678" spans="1:10" x14ac:dyDescent="0.25">
      <c r="A678" t="s">
        <v>122</v>
      </c>
      <c r="B678" t="s">
        <v>123</v>
      </c>
      <c r="C678" t="s">
        <v>38</v>
      </c>
      <c r="D678" t="s">
        <v>39</v>
      </c>
      <c r="J678">
        <f t="shared" si="10"/>
        <v>0</v>
      </c>
    </row>
    <row r="679" spans="1:10" x14ac:dyDescent="0.25">
      <c r="A679" t="s">
        <v>122</v>
      </c>
      <c r="B679" t="s">
        <v>123</v>
      </c>
      <c r="C679" t="s">
        <v>40</v>
      </c>
      <c r="D679" t="s">
        <v>41</v>
      </c>
      <c r="E679">
        <v>92.477377000000004</v>
      </c>
      <c r="F679">
        <v>92.450537999999995</v>
      </c>
      <c r="G679">
        <v>92.483858999999995</v>
      </c>
      <c r="H679">
        <v>92.822394000000003</v>
      </c>
      <c r="J679">
        <f t="shared" si="10"/>
        <v>92.822394000000003</v>
      </c>
    </row>
    <row r="680" spans="1:10" x14ac:dyDescent="0.25">
      <c r="A680" t="s">
        <v>122</v>
      </c>
      <c r="B680" t="s">
        <v>123</v>
      </c>
      <c r="C680" t="s">
        <v>42</v>
      </c>
      <c r="D680" t="s">
        <v>43</v>
      </c>
      <c r="J680">
        <f t="shared" si="10"/>
        <v>0</v>
      </c>
    </row>
    <row r="681" spans="1:10" x14ac:dyDescent="0.25">
      <c r="A681" t="s">
        <v>122</v>
      </c>
      <c r="B681" t="s">
        <v>123</v>
      </c>
      <c r="C681" t="s">
        <v>44</v>
      </c>
      <c r="D681" t="s">
        <v>45</v>
      </c>
      <c r="E681">
        <v>4</v>
      </c>
      <c r="J681">
        <f t="shared" si="10"/>
        <v>4</v>
      </c>
    </row>
    <row r="682" spans="1:10" x14ac:dyDescent="0.25">
      <c r="A682" t="s">
        <v>124</v>
      </c>
      <c r="B682" t="s">
        <v>125</v>
      </c>
      <c r="C682" t="s">
        <v>11</v>
      </c>
      <c r="D682" t="s">
        <v>12</v>
      </c>
      <c r="G682">
        <v>70.5</v>
      </c>
      <c r="J682">
        <f t="shared" si="10"/>
        <v>70.5</v>
      </c>
    </row>
    <row r="683" spans="1:10" x14ac:dyDescent="0.25">
      <c r="A683" t="s">
        <v>124</v>
      </c>
      <c r="B683" t="s">
        <v>125</v>
      </c>
      <c r="C683" t="s">
        <v>14</v>
      </c>
      <c r="D683" t="s">
        <v>15</v>
      </c>
      <c r="G683">
        <v>70.709999999999994</v>
      </c>
      <c r="J683">
        <f t="shared" si="10"/>
        <v>70.709999999999994</v>
      </c>
    </row>
    <row r="684" spans="1:10" x14ac:dyDescent="0.25">
      <c r="A684" t="s">
        <v>124</v>
      </c>
      <c r="B684" t="s">
        <v>125</v>
      </c>
      <c r="C684" t="s">
        <v>16</v>
      </c>
      <c r="D684" t="s">
        <v>17</v>
      </c>
      <c r="G684">
        <v>70.25</v>
      </c>
      <c r="J684">
        <f t="shared" si="10"/>
        <v>70.25</v>
      </c>
    </row>
    <row r="685" spans="1:10" x14ac:dyDescent="0.25">
      <c r="A685" t="s">
        <v>124</v>
      </c>
      <c r="B685" t="s">
        <v>125</v>
      </c>
      <c r="C685" t="s">
        <v>18</v>
      </c>
      <c r="D685" t="s">
        <v>19</v>
      </c>
      <c r="G685">
        <v>62.45</v>
      </c>
      <c r="J685">
        <f t="shared" si="10"/>
        <v>62.45</v>
      </c>
    </row>
    <row r="686" spans="1:10" x14ac:dyDescent="0.25">
      <c r="A686" t="s">
        <v>124</v>
      </c>
      <c r="B686" t="s">
        <v>125</v>
      </c>
      <c r="C686" t="s">
        <v>20</v>
      </c>
      <c r="D686" t="s">
        <v>21</v>
      </c>
      <c r="G686">
        <v>54.54</v>
      </c>
      <c r="J686">
        <f t="shared" si="10"/>
        <v>54.54</v>
      </c>
    </row>
    <row r="687" spans="1:10" x14ac:dyDescent="0.25">
      <c r="A687" t="s">
        <v>124</v>
      </c>
      <c r="B687" t="s">
        <v>125</v>
      </c>
      <c r="C687" t="s">
        <v>22</v>
      </c>
      <c r="D687" t="s">
        <v>23</v>
      </c>
      <c r="G687">
        <v>41.71</v>
      </c>
      <c r="J687">
        <f t="shared" si="10"/>
        <v>41.71</v>
      </c>
    </row>
    <row r="688" spans="1:10" x14ac:dyDescent="0.25">
      <c r="A688" t="s">
        <v>124</v>
      </c>
      <c r="B688" t="s">
        <v>125</v>
      </c>
      <c r="C688" t="s">
        <v>24</v>
      </c>
      <c r="D688" t="s">
        <v>25</v>
      </c>
      <c r="J688">
        <f t="shared" si="10"/>
        <v>0</v>
      </c>
    </row>
    <row r="689" spans="1:10" x14ac:dyDescent="0.25">
      <c r="A689" t="s">
        <v>124</v>
      </c>
      <c r="B689" t="s">
        <v>125</v>
      </c>
      <c r="C689" t="s">
        <v>26</v>
      </c>
      <c r="D689" t="s">
        <v>27</v>
      </c>
      <c r="E689">
        <v>1.3</v>
      </c>
      <c r="I689">
        <v>1</v>
      </c>
      <c r="J689">
        <f t="shared" si="10"/>
        <v>1.3</v>
      </c>
    </row>
    <row r="690" spans="1:10" x14ac:dyDescent="0.25">
      <c r="A690" t="s">
        <v>124</v>
      </c>
      <c r="B690" t="s">
        <v>125</v>
      </c>
      <c r="C690" t="s">
        <v>28</v>
      </c>
      <c r="D690" t="s">
        <v>29</v>
      </c>
      <c r="E690">
        <v>9</v>
      </c>
      <c r="J690">
        <f t="shared" si="10"/>
        <v>9</v>
      </c>
    </row>
    <row r="691" spans="1:10" x14ac:dyDescent="0.25">
      <c r="A691" t="s">
        <v>124</v>
      </c>
      <c r="B691" t="s">
        <v>125</v>
      </c>
      <c r="C691" t="s">
        <v>30</v>
      </c>
      <c r="D691" t="s">
        <v>31</v>
      </c>
      <c r="E691">
        <v>44.723685798174003</v>
      </c>
      <c r="F691">
        <v>65.193315792644995</v>
      </c>
      <c r="G691">
        <v>54.727126012779102</v>
      </c>
      <c r="H691">
        <v>42.969393357123202</v>
      </c>
      <c r="J691">
        <f t="shared" si="10"/>
        <v>65.193315792644995</v>
      </c>
    </row>
    <row r="692" spans="1:10" x14ac:dyDescent="0.25">
      <c r="A692" t="s">
        <v>124</v>
      </c>
      <c r="B692" t="s">
        <v>125</v>
      </c>
      <c r="C692" t="s">
        <v>32</v>
      </c>
      <c r="D692" t="s">
        <v>33</v>
      </c>
      <c r="E692">
        <v>9</v>
      </c>
      <c r="F692">
        <v>9</v>
      </c>
      <c r="G692">
        <v>9</v>
      </c>
      <c r="H692">
        <v>9</v>
      </c>
      <c r="I692">
        <v>9</v>
      </c>
      <c r="J692">
        <f t="shared" si="10"/>
        <v>9</v>
      </c>
    </row>
    <row r="693" spans="1:10" x14ac:dyDescent="0.25">
      <c r="A693" t="s">
        <v>124</v>
      </c>
      <c r="B693" t="s">
        <v>125</v>
      </c>
      <c r="C693" t="s">
        <v>34</v>
      </c>
      <c r="D693" t="s">
        <v>35</v>
      </c>
      <c r="E693">
        <v>76.190475463867202</v>
      </c>
      <c r="F693">
        <v>70.952377319335895</v>
      </c>
      <c r="G693">
        <v>73.809524536132798</v>
      </c>
      <c r="H693">
        <v>72.169815063476605</v>
      </c>
      <c r="I693">
        <v>71.226417541503906</v>
      </c>
      <c r="J693">
        <f t="shared" si="10"/>
        <v>76.190475463867202</v>
      </c>
    </row>
    <row r="694" spans="1:10" x14ac:dyDescent="0.25">
      <c r="A694" t="s">
        <v>124</v>
      </c>
      <c r="B694" t="s">
        <v>125</v>
      </c>
      <c r="C694" t="s">
        <v>36</v>
      </c>
      <c r="D694" t="s">
        <v>37</v>
      </c>
      <c r="E694">
        <v>64.775254531250397</v>
      </c>
      <c r="F694">
        <v>64.753410535606406</v>
      </c>
      <c r="G694">
        <v>65.973896344421107</v>
      </c>
      <c r="J694">
        <f t="shared" si="10"/>
        <v>65.973896344421107</v>
      </c>
    </row>
    <row r="695" spans="1:10" x14ac:dyDescent="0.25">
      <c r="A695" t="s">
        <v>124</v>
      </c>
      <c r="B695" t="s">
        <v>125</v>
      </c>
      <c r="C695" t="s">
        <v>38</v>
      </c>
      <c r="D695" t="s">
        <v>39</v>
      </c>
      <c r="J695">
        <f t="shared" si="10"/>
        <v>0</v>
      </c>
    </row>
    <row r="696" spans="1:10" x14ac:dyDescent="0.25">
      <c r="A696" t="s">
        <v>124</v>
      </c>
      <c r="B696" t="s">
        <v>125</v>
      </c>
      <c r="C696" t="s">
        <v>40</v>
      </c>
      <c r="D696" t="s">
        <v>41</v>
      </c>
      <c r="E696">
        <v>87.549722000000003</v>
      </c>
      <c r="F696">
        <v>86.589507999999995</v>
      </c>
      <c r="G696">
        <v>82.901647999999994</v>
      </c>
      <c r="H696">
        <v>87.716818000000004</v>
      </c>
      <c r="J696">
        <f t="shared" si="10"/>
        <v>87.716818000000004</v>
      </c>
    </row>
    <row r="697" spans="1:10" x14ac:dyDescent="0.25">
      <c r="A697" t="s">
        <v>124</v>
      </c>
      <c r="B697" t="s">
        <v>125</v>
      </c>
      <c r="C697" t="s">
        <v>42</v>
      </c>
      <c r="D697" t="s">
        <v>43</v>
      </c>
      <c r="J697">
        <f t="shared" si="10"/>
        <v>0</v>
      </c>
    </row>
    <row r="698" spans="1:10" x14ac:dyDescent="0.25">
      <c r="A698" t="s">
        <v>124</v>
      </c>
      <c r="B698" t="s">
        <v>125</v>
      </c>
      <c r="C698" t="s">
        <v>44</v>
      </c>
      <c r="D698" t="s">
        <v>45</v>
      </c>
      <c r="E698">
        <v>1</v>
      </c>
      <c r="J698">
        <f t="shared" si="10"/>
        <v>1</v>
      </c>
    </row>
    <row r="699" spans="1:10" x14ac:dyDescent="0.25">
      <c r="A699" t="s">
        <v>126</v>
      </c>
      <c r="B699" t="s">
        <v>127</v>
      </c>
      <c r="C699" t="s">
        <v>11</v>
      </c>
      <c r="D699" t="s">
        <v>12</v>
      </c>
      <c r="G699">
        <v>99.98</v>
      </c>
      <c r="J699">
        <f t="shared" si="10"/>
        <v>99.98</v>
      </c>
    </row>
    <row r="700" spans="1:10" x14ac:dyDescent="0.25">
      <c r="A700" t="s">
        <v>126</v>
      </c>
      <c r="B700" t="s">
        <v>127</v>
      </c>
      <c r="C700" t="s">
        <v>14</v>
      </c>
      <c r="D700" t="s">
        <v>15</v>
      </c>
      <c r="G700">
        <v>100</v>
      </c>
      <c r="J700">
        <f t="shared" si="10"/>
        <v>100</v>
      </c>
    </row>
    <row r="701" spans="1:10" x14ac:dyDescent="0.25">
      <c r="A701" t="s">
        <v>126</v>
      </c>
      <c r="B701" t="s">
        <v>127</v>
      </c>
      <c r="C701" t="s">
        <v>16</v>
      </c>
      <c r="D701" t="s">
        <v>17</v>
      </c>
      <c r="G701">
        <v>99.95</v>
      </c>
      <c r="J701">
        <f t="shared" si="10"/>
        <v>99.95</v>
      </c>
    </row>
    <row r="702" spans="1:10" x14ac:dyDescent="0.25">
      <c r="A702" t="s">
        <v>126</v>
      </c>
      <c r="B702" t="s">
        <v>127</v>
      </c>
      <c r="C702" t="s">
        <v>18</v>
      </c>
      <c r="D702" t="s">
        <v>19</v>
      </c>
      <c r="G702">
        <v>99.94</v>
      </c>
      <c r="J702">
        <f t="shared" si="10"/>
        <v>99.94</v>
      </c>
    </row>
    <row r="703" spans="1:10" x14ac:dyDescent="0.25">
      <c r="A703" t="s">
        <v>126</v>
      </c>
      <c r="B703" t="s">
        <v>127</v>
      </c>
      <c r="C703" t="s">
        <v>20</v>
      </c>
      <c r="D703" t="s">
        <v>21</v>
      </c>
      <c r="G703">
        <v>100</v>
      </c>
      <c r="J703">
        <f t="shared" si="10"/>
        <v>100</v>
      </c>
    </row>
    <row r="704" spans="1:10" x14ac:dyDescent="0.25">
      <c r="A704" t="s">
        <v>126</v>
      </c>
      <c r="B704" t="s">
        <v>127</v>
      </c>
      <c r="C704" t="s">
        <v>22</v>
      </c>
      <c r="D704" t="s">
        <v>23</v>
      </c>
      <c r="G704">
        <v>100</v>
      </c>
      <c r="J704">
        <f t="shared" si="10"/>
        <v>100</v>
      </c>
    </row>
    <row r="705" spans="1:10" x14ac:dyDescent="0.25">
      <c r="A705" t="s">
        <v>126</v>
      </c>
      <c r="B705" t="s">
        <v>127</v>
      </c>
      <c r="C705" t="s">
        <v>24</v>
      </c>
      <c r="D705" t="s">
        <v>25</v>
      </c>
      <c r="J705">
        <f t="shared" si="10"/>
        <v>0</v>
      </c>
    </row>
    <row r="706" spans="1:10" x14ac:dyDescent="0.25">
      <c r="A706" t="s">
        <v>126</v>
      </c>
      <c r="B706" t="s">
        <v>127</v>
      </c>
      <c r="C706" t="s">
        <v>26</v>
      </c>
      <c r="D706" t="s">
        <v>27</v>
      </c>
      <c r="G706">
        <v>2.2000000000000002</v>
      </c>
      <c r="J706">
        <f t="shared" si="10"/>
        <v>2.2000000000000002</v>
      </c>
    </row>
    <row r="707" spans="1:10" x14ac:dyDescent="0.25">
      <c r="A707" t="s">
        <v>126</v>
      </c>
      <c r="B707" t="s">
        <v>127</v>
      </c>
      <c r="C707" t="s">
        <v>28</v>
      </c>
      <c r="D707" t="s">
        <v>29</v>
      </c>
      <c r="E707">
        <v>5</v>
      </c>
      <c r="J707">
        <f t="shared" ref="J707:J770" si="11">MAX(E707:I707)</f>
        <v>5</v>
      </c>
    </row>
    <row r="708" spans="1:10" x14ac:dyDescent="0.25">
      <c r="A708" t="s">
        <v>126</v>
      </c>
      <c r="B708" t="s">
        <v>127</v>
      </c>
      <c r="C708" t="s">
        <v>30</v>
      </c>
      <c r="D708" t="s">
        <v>31</v>
      </c>
      <c r="J708">
        <f t="shared" si="11"/>
        <v>0</v>
      </c>
    </row>
    <row r="709" spans="1:10" x14ac:dyDescent="0.25">
      <c r="A709" t="s">
        <v>126</v>
      </c>
      <c r="B709" t="s">
        <v>127</v>
      </c>
      <c r="C709" t="s">
        <v>32</v>
      </c>
      <c r="D709" t="s">
        <v>33</v>
      </c>
      <c r="E709">
        <v>13</v>
      </c>
      <c r="F709">
        <v>13</v>
      </c>
      <c r="G709">
        <v>13</v>
      </c>
      <c r="H709">
        <v>13</v>
      </c>
      <c r="I709">
        <v>13</v>
      </c>
      <c r="J709">
        <f t="shared" si="11"/>
        <v>13</v>
      </c>
    </row>
    <row r="710" spans="1:10" x14ac:dyDescent="0.25">
      <c r="A710" t="s">
        <v>126</v>
      </c>
      <c r="B710" t="s">
        <v>127</v>
      </c>
      <c r="C710" t="s">
        <v>34</v>
      </c>
      <c r="D710" t="s">
        <v>35</v>
      </c>
      <c r="E710">
        <v>95.238098144531193</v>
      </c>
      <c r="F710">
        <v>95.238098144531193</v>
      </c>
      <c r="G710">
        <v>95.714286804199205</v>
      </c>
      <c r="H710">
        <v>95.754714965820298</v>
      </c>
      <c r="I710">
        <v>94.339622497558594</v>
      </c>
      <c r="J710">
        <f t="shared" si="11"/>
        <v>95.754714965820298</v>
      </c>
    </row>
    <row r="711" spans="1:10" x14ac:dyDescent="0.25">
      <c r="A711" t="s">
        <v>126</v>
      </c>
      <c r="B711" t="s">
        <v>127</v>
      </c>
      <c r="C711" t="s">
        <v>36</v>
      </c>
      <c r="D711" t="s">
        <v>37</v>
      </c>
      <c r="J711">
        <f t="shared" si="11"/>
        <v>0</v>
      </c>
    </row>
    <row r="712" spans="1:10" x14ac:dyDescent="0.25">
      <c r="A712" t="s">
        <v>126</v>
      </c>
      <c r="B712" t="s">
        <v>127</v>
      </c>
      <c r="C712" t="s">
        <v>38</v>
      </c>
      <c r="D712" t="s">
        <v>39</v>
      </c>
      <c r="J712">
        <f t="shared" si="11"/>
        <v>0</v>
      </c>
    </row>
    <row r="713" spans="1:10" x14ac:dyDescent="0.25">
      <c r="A713" t="s">
        <v>126</v>
      </c>
      <c r="B713" t="s">
        <v>127</v>
      </c>
      <c r="C713" t="s">
        <v>40</v>
      </c>
      <c r="D713" t="s">
        <v>41</v>
      </c>
      <c r="E713">
        <v>92.075883000000005</v>
      </c>
      <c r="F713">
        <v>92.122854000000004</v>
      </c>
      <c r="G713">
        <v>91.875352000000007</v>
      </c>
      <c r="H713">
        <v>91.953883000000005</v>
      </c>
      <c r="J713">
        <f t="shared" si="11"/>
        <v>92.122854000000004</v>
      </c>
    </row>
    <row r="714" spans="1:10" x14ac:dyDescent="0.25">
      <c r="A714" t="s">
        <v>126</v>
      </c>
      <c r="B714" t="s">
        <v>127</v>
      </c>
      <c r="C714" t="s">
        <v>42</v>
      </c>
      <c r="D714" t="s">
        <v>43</v>
      </c>
      <c r="J714">
        <f t="shared" si="11"/>
        <v>0</v>
      </c>
    </row>
    <row r="715" spans="1:10" x14ac:dyDescent="0.25">
      <c r="A715" t="s">
        <v>126</v>
      </c>
      <c r="B715" t="s">
        <v>127</v>
      </c>
      <c r="C715" t="s">
        <v>44</v>
      </c>
      <c r="D715" t="s">
        <v>45</v>
      </c>
      <c r="E715">
        <v>8</v>
      </c>
      <c r="J715">
        <f t="shared" si="11"/>
        <v>8</v>
      </c>
    </row>
    <row r="716" spans="1:10" x14ac:dyDescent="0.25">
      <c r="A716" t="s">
        <v>128</v>
      </c>
      <c r="B716" t="s">
        <v>129</v>
      </c>
      <c r="C716" t="s">
        <v>11</v>
      </c>
      <c r="D716" t="s">
        <v>12</v>
      </c>
      <c r="G716">
        <v>68.23</v>
      </c>
      <c r="J716">
        <f t="shared" si="11"/>
        <v>68.23</v>
      </c>
    </row>
    <row r="717" spans="1:10" x14ac:dyDescent="0.25">
      <c r="A717" t="s">
        <v>128</v>
      </c>
      <c r="B717" t="s">
        <v>129</v>
      </c>
      <c r="C717" t="s">
        <v>14</v>
      </c>
      <c r="D717" t="s">
        <v>15</v>
      </c>
      <c r="G717">
        <v>62.58</v>
      </c>
      <c r="J717">
        <f t="shared" si="11"/>
        <v>62.58</v>
      </c>
    </row>
    <row r="718" spans="1:10" x14ac:dyDescent="0.25">
      <c r="A718" t="s">
        <v>128</v>
      </c>
      <c r="B718" t="s">
        <v>129</v>
      </c>
      <c r="C718" t="s">
        <v>16</v>
      </c>
      <c r="D718" t="s">
        <v>17</v>
      </c>
      <c r="G718">
        <v>74.180000000000007</v>
      </c>
      <c r="J718">
        <f t="shared" si="11"/>
        <v>74.180000000000007</v>
      </c>
    </row>
    <row r="719" spans="1:10" x14ac:dyDescent="0.25">
      <c r="A719" t="s">
        <v>128</v>
      </c>
      <c r="B719" t="s">
        <v>129</v>
      </c>
      <c r="C719" t="s">
        <v>18</v>
      </c>
      <c r="D719" t="s">
        <v>19</v>
      </c>
      <c r="G719">
        <v>54.72</v>
      </c>
      <c r="J719">
        <f t="shared" si="11"/>
        <v>54.72</v>
      </c>
    </row>
    <row r="720" spans="1:10" x14ac:dyDescent="0.25">
      <c r="A720" t="s">
        <v>128</v>
      </c>
      <c r="B720" t="s">
        <v>129</v>
      </c>
      <c r="C720" t="s">
        <v>20</v>
      </c>
      <c r="D720" t="s">
        <v>21</v>
      </c>
      <c r="G720">
        <v>65.22</v>
      </c>
      <c r="J720">
        <f t="shared" si="11"/>
        <v>65.22</v>
      </c>
    </row>
    <row r="721" spans="1:10" x14ac:dyDescent="0.25">
      <c r="A721" t="s">
        <v>128</v>
      </c>
      <c r="B721" t="s">
        <v>129</v>
      </c>
      <c r="C721" t="s">
        <v>22</v>
      </c>
      <c r="D721" t="s">
        <v>23</v>
      </c>
      <c r="G721">
        <v>51.59</v>
      </c>
      <c r="J721">
        <f t="shared" si="11"/>
        <v>51.59</v>
      </c>
    </row>
    <row r="722" spans="1:10" x14ac:dyDescent="0.25">
      <c r="A722" t="s">
        <v>128</v>
      </c>
      <c r="B722" t="s">
        <v>129</v>
      </c>
      <c r="C722" t="s">
        <v>24</v>
      </c>
      <c r="D722" t="s">
        <v>25</v>
      </c>
      <c r="J722">
        <f t="shared" si="11"/>
        <v>0</v>
      </c>
    </row>
    <row r="723" spans="1:10" x14ac:dyDescent="0.25">
      <c r="A723" t="s">
        <v>128</v>
      </c>
      <c r="B723" t="s">
        <v>129</v>
      </c>
      <c r="C723" t="s">
        <v>26</v>
      </c>
      <c r="D723" t="s">
        <v>27</v>
      </c>
      <c r="I723">
        <v>17</v>
      </c>
      <c r="J723">
        <f t="shared" si="11"/>
        <v>17</v>
      </c>
    </row>
    <row r="724" spans="1:10" x14ac:dyDescent="0.25">
      <c r="A724" t="s">
        <v>128</v>
      </c>
      <c r="B724" t="s">
        <v>129</v>
      </c>
      <c r="C724" t="s">
        <v>28</v>
      </c>
      <c r="D724" t="s">
        <v>29</v>
      </c>
      <c r="E724">
        <v>7</v>
      </c>
      <c r="J724">
        <f t="shared" si="11"/>
        <v>7</v>
      </c>
    </row>
    <row r="725" spans="1:10" x14ac:dyDescent="0.25">
      <c r="A725" t="s">
        <v>128</v>
      </c>
      <c r="B725" t="s">
        <v>129</v>
      </c>
      <c r="C725" t="s">
        <v>30</v>
      </c>
      <c r="D725" t="s">
        <v>31</v>
      </c>
      <c r="J725">
        <f t="shared" si="11"/>
        <v>0</v>
      </c>
    </row>
    <row r="726" spans="1:10" x14ac:dyDescent="0.25">
      <c r="A726" t="s">
        <v>128</v>
      </c>
      <c r="B726" t="s">
        <v>129</v>
      </c>
      <c r="C726" t="s">
        <v>32</v>
      </c>
      <c r="D726" t="s">
        <v>33</v>
      </c>
      <c r="E726">
        <v>11</v>
      </c>
      <c r="F726">
        <v>11</v>
      </c>
      <c r="G726">
        <v>11</v>
      </c>
      <c r="H726">
        <v>11</v>
      </c>
      <c r="I726">
        <v>11</v>
      </c>
      <c r="J726">
        <f t="shared" si="11"/>
        <v>11</v>
      </c>
    </row>
    <row r="727" spans="1:10" x14ac:dyDescent="0.25">
      <c r="A727" t="s">
        <v>128</v>
      </c>
      <c r="B727" t="s">
        <v>129</v>
      </c>
      <c r="C727" t="s">
        <v>34</v>
      </c>
      <c r="D727" t="s">
        <v>35</v>
      </c>
      <c r="E727">
        <v>52.380950927734403</v>
      </c>
      <c r="F727">
        <v>50</v>
      </c>
      <c r="G727">
        <v>50</v>
      </c>
      <c r="H727">
        <v>52.830188751220703</v>
      </c>
      <c r="I727">
        <v>51.415092468261697</v>
      </c>
      <c r="J727">
        <f t="shared" si="11"/>
        <v>52.830188751220703</v>
      </c>
    </row>
    <row r="728" spans="1:10" x14ac:dyDescent="0.25">
      <c r="A728" t="s">
        <v>128</v>
      </c>
      <c r="B728" t="s">
        <v>129</v>
      </c>
      <c r="C728" t="s">
        <v>36</v>
      </c>
      <c r="D728" t="s">
        <v>37</v>
      </c>
      <c r="J728">
        <f t="shared" si="11"/>
        <v>0</v>
      </c>
    </row>
    <row r="729" spans="1:10" x14ac:dyDescent="0.25">
      <c r="A729" t="s">
        <v>128</v>
      </c>
      <c r="B729" t="s">
        <v>129</v>
      </c>
      <c r="C729" t="s">
        <v>38</v>
      </c>
      <c r="D729" t="s">
        <v>39</v>
      </c>
      <c r="J729">
        <f t="shared" si="11"/>
        <v>0</v>
      </c>
    </row>
    <row r="730" spans="1:10" x14ac:dyDescent="0.25">
      <c r="A730" t="s">
        <v>128</v>
      </c>
      <c r="B730" t="s">
        <v>129</v>
      </c>
      <c r="C730" t="s">
        <v>40</v>
      </c>
      <c r="D730" t="s">
        <v>41</v>
      </c>
      <c r="E730">
        <v>67.984747999999996</v>
      </c>
      <c r="F730">
        <v>67.961275999999998</v>
      </c>
      <c r="G730">
        <v>67.210055999999994</v>
      </c>
      <c r="H730">
        <v>69.697326000000004</v>
      </c>
      <c r="J730">
        <f t="shared" si="11"/>
        <v>69.697326000000004</v>
      </c>
    </row>
    <row r="731" spans="1:10" x14ac:dyDescent="0.25">
      <c r="A731" t="s">
        <v>128</v>
      </c>
      <c r="B731" t="s">
        <v>129</v>
      </c>
      <c r="C731" t="s">
        <v>42</v>
      </c>
      <c r="D731" t="s">
        <v>43</v>
      </c>
      <c r="J731">
        <f t="shared" si="11"/>
        <v>0</v>
      </c>
    </row>
    <row r="732" spans="1:10" x14ac:dyDescent="0.25">
      <c r="A732" t="s">
        <v>128</v>
      </c>
      <c r="B732" t="s">
        <v>129</v>
      </c>
      <c r="C732" t="s">
        <v>44</v>
      </c>
      <c r="D732" t="s">
        <v>45</v>
      </c>
      <c r="E732">
        <v>13</v>
      </c>
      <c r="J732">
        <f t="shared" si="11"/>
        <v>13</v>
      </c>
    </row>
    <row r="733" spans="1:10" x14ac:dyDescent="0.25">
      <c r="A733" t="s">
        <v>130</v>
      </c>
      <c r="B733" t="s">
        <v>131</v>
      </c>
      <c r="C733" t="s">
        <v>11</v>
      </c>
      <c r="D733" t="s">
        <v>12</v>
      </c>
      <c r="G733">
        <v>94.88</v>
      </c>
      <c r="J733">
        <f t="shared" si="11"/>
        <v>94.88</v>
      </c>
    </row>
    <row r="734" spans="1:10" x14ac:dyDescent="0.25">
      <c r="A734" t="s">
        <v>130</v>
      </c>
      <c r="B734" t="s">
        <v>131</v>
      </c>
      <c r="C734" t="s">
        <v>14</v>
      </c>
      <c r="D734" t="s">
        <v>15</v>
      </c>
      <c r="G734">
        <v>93.43</v>
      </c>
      <c r="J734">
        <f t="shared" si="11"/>
        <v>93.43</v>
      </c>
    </row>
    <row r="735" spans="1:10" x14ac:dyDescent="0.25">
      <c r="A735" t="s">
        <v>130</v>
      </c>
      <c r="B735" t="s">
        <v>131</v>
      </c>
      <c r="C735" t="s">
        <v>16</v>
      </c>
      <c r="D735" t="s">
        <v>17</v>
      </c>
      <c r="G735">
        <v>96.33</v>
      </c>
      <c r="J735">
        <f t="shared" si="11"/>
        <v>96.33</v>
      </c>
    </row>
    <row r="736" spans="1:10" x14ac:dyDescent="0.25">
      <c r="A736" t="s">
        <v>130</v>
      </c>
      <c r="B736" t="s">
        <v>131</v>
      </c>
      <c r="C736" t="s">
        <v>18</v>
      </c>
      <c r="D736" t="s">
        <v>19</v>
      </c>
      <c r="G736">
        <v>91.64</v>
      </c>
      <c r="J736">
        <f t="shared" si="11"/>
        <v>91.64</v>
      </c>
    </row>
    <row r="737" spans="1:10" x14ac:dyDescent="0.25">
      <c r="A737" t="s">
        <v>130</v>
      </c>
      <c r="B737" t="s">
        <v>131</v>
      </c>
      <c r="C737" t="s">
        <v>20</v>
      </c>
      <c r="D737" t="s">
        <v>21</v>
      </c>
      <c r="G737">
        <v>90.14</v>
      </c>
      <c r="J737">
        <f t="shared" si="11"/>
        <v>90.14</v>
      </c>
    </row>
    <row r="738" spans="1:10" x14ac:dyDescent="0.25">
      <c r="A738" t="s">
        <v>130</v>
      </c>
      <c r="B738" t="s">
        <v>131</v>
      </c>
      <c r="C738" t="s">
        <v>22</v>
      </c>
      <c r="D738" t="s">
        <v>23</v>
      </c>
      <c r="G738">
        <v>91.83</v>
      </c>
      <c r="J738">
        <f t="shared" si="11"/>
        <v>91.83</v>
      </c>
    </row>
    <row r="739" spans="1:10" x14ac:dyDescent="0.25">
      <c r="A739" t="s">
        <v>130</v>
      </c>
      <c r="B739" t="s">
        <v>131</v>
      </c>
      <c r="C739" t="s">
        <v>24</v>
      </c>
      <c r="D739" t="s">
        <v>25</v>
      </c>
      <c r="J739">
        <f t="shared" si="11"/>
        <v>0</v>
      </c>
    </row>
    <row r="740" spans="1:10" x14ac:dyDescent="0.25">
      <c r="A740" t="s">
        <v>130</v>
      </c>
      <c r="B740" t="s">
        <v>131</v>
      </c>
      <c r="C740" t="s">
        <v>26</v>
      </c>
      <c r="D740" t="s">
        <v>27</v>
      </c>
      <c r="I740">
        <v>5.5</v>
      </c>
      <c r="J740">
        <f t="shared" si="11"/>
        <v>5.5</v>
      </c>
    </row>
    <row r="741" spans="1:10" x14ac:dyDescent="0.25">
      <c r="A741" t="s">
        <v>130</v>
      </c>
      <c r="B741" t="s">
        <v>131</v>
      </c>
      <c r="C741" t="s">
        <v>28</v>
      </c>
      <c r="D741" t="s">
        <v>29</v>
      </c>
      <c r="E741">
        <v>9</v>
      </c>
      <c r="J741">
        <f t="shared" si="11"/>
        <v>9</v>
      </c>
    </row>
    <row r="742" spans="1:10" x14ac:dyDescent="0.25">
      <c r="A742" t="s">
        <v>130</v>
      </c>
      <c r="B742" t="s">
        <v>131</v>
      </c>
      <c r="C742" t="s">
        <v>30</v>
      </c>
      <c r="D742" t="s">
        <v>31</v>
      </c>
      <c r="E742">
        <v>210.35007249520399</v>
      </c>
      <c r="F742">
        <v>249.411353803704</v>
      </c>
      <c r="G742">
        <v>233.53697368464901</v>
      </c>
      <c r="H742">
        <v>202.07913542852199</v>
      </c>
      <c r="J742">
        <f t="shared" si="11"/>
        <v>249.411353803704</v>
      </c>
    </row>
    <row r="743" spans="1:10" x14ac:dyDescent="0.25">
      <c r="A743" t="s">
        <v>130</v>
      </c>
      <c r="B743" t="s">
        <v>131</v>
      </c>
      <c r="C743" t="s">
        <v>32</v>
      </c>
      <c r="D743" t="s">
        <v>33</v>
      </c>
      <c r="E743">
        <v>10</v>
      </c>
      <c r="F743">
        <v>10</v>
      </c>
      <c r="G743">
        <v>10</v>
      </c>
      <c r="H743">
        <v>10</v>
      </c>
      <c r="I743">
        <v>10</v>
      </c>
      <c r="J743">
        <f t="shared" si="11"/>
        <v>10</v>
      </c>
    </row>
    <row r="744" spans="1:10" x14ac:dyDescent="0.25">
      <c r="A744" t="s">
        <v>130</v>
      </c>
      <c r="B744" t="s">
        <v>131</v>
      </c>
      <c r="C744" t="s">
        <v>34</v>
      </c>
      <c r="D744" t="s">
        <v>35</v>
      </c>
      <c r="E744">
        <v>56.666667938232401</v>
      </c>
      <c r="F744">
        <v>57.142856597900398</v>
      </c>
      <c r="G744">
        <v>59.523811340332003</v>
      </c>
      <c r="H744">
        <v>56.603775024414098</v>
      </c>
      <c r="I744">
        <v>58.018867492675803</v>
      </c>
      <c r="J744">
        <f t="shared" si="11"/>
        <v>59.523811340332003</v>
      </c>
    </row>
    <row r="745" spans="1:10" x14ac:dyDescent="0.25">
      <c r="A745" t="s">
        <v>130</v>
      </c>
      <c r="B745" t="s">
        <v>131</v>
      </c>
      <c r="C745" t="s">
        <v>36</v>
      </c>
      <c r="D745" t="s">
        <v>37</v>
      </c>
      <c r="J745">
        <f t="shared" si="11"/>
        <v>0</v>
      </c>
    </row>
    <row r="746" spans="1:10" x14ac:dyDescent="0.25">
      <c r="A746" t="s">
        <v>130</v>
      </c>
      <c r="B746" t="s">
        <v>131</v>
      </c>
      <c r="C746" t="s">
        <v>38</v>
      </c>
      <c r="D746" t="s">
        <v>39</v>
      </c>
      <c r="J746">
        <f t="shared" si="11"/>
        <v>0</v>
      </c>
    </row>
    <row r="747" spans="1:10" x14ac:dyDescent="0.25">
      <c r="A747" t="s">
        <v>130</v>
      </c>
      <c r="B747" t="s">
        <v>131</v>
      </c>
      <c r="C747" t="s">
        <v>40</v>
      </c>
      <c r="D747" t="s">
        <v>41</v>
      </c>
      <c r="E747">
        <v>93.564454999999995</v>
      </c>
      <c r="F747">
        <v>92.879463999999999</v>
      </c>
      <c r="G747">
        <v>91.921391999999997</v>
      </c>
      <c r="H747">
        <v>91.807771000000002</v>
      </c>
      <c r="J747">
        <f t="shared" si="11"/>
        <v>93.564454999999995</v>
      </c>
    </row>
    <row r="748" spans="1:10" x14ac:dyDescent="0.25">
      <c r="A748" t="s">
        <v>130</v>
      </c>
      <c r="B748" t="s">
        <v>131</v>
      </c>
      <c r="C748" t="s">
        <v>42</v>
      </c>
      <c r="D748" t="s">
        <v>43</v>
      </c>
      <c r="J748">
        <f t="shared" si="11"/>
        <v>0</v>
      </c>
    </row>
    <row r="749" spans="1:10" x14ac:dyDescent="0.25">
      <c r="A749" t="s">
        <v>130</v>
      </c>
      <c r="B749" t="s">
        <v>131</v>
      </c>
      <c r="C749" t="s">
        <v>44</v>
      </c>
      <c r="D749" t="s">
        <v>45</v>
      </c>
      <c r="E749">
        <v>4</v>
      </c>
      <c r="J749">
        <f t="shared" si="11"/>
        <v>4</v>
      </c>
    </row>
    <row r="750" spans="1:10" x14ac:dyDescent="0.25">
      <c r="A750" t="s">
        <v>132</v>
      </c>
      <c r="B750" t="s">
        <v>133</v>
      </c>
      <c r="C750" t="s">
        <v>11</v>
      </c>
      <c r="D750" t="s">
        <v>12</v>
      </c>
      <c r="H750">
        <v>36.979999999999997</v>
      </c>
      <c r="J750">
        <f t="shared" si="11"/>
        <v>36.979999999999997</v>
      </c>
    </row>
    <row r="751" spans="1:10" x14ac:dyDescent="0.25">
      <c r="A751" t="s">
        <v>132</v>
      </c>
      <c r="B751" t="s">
        <v>133</v>
      </c>
      <c r="C751" t="s">
        <v>14</v>
      </c>
      <c r="D751" t="s">
        <v>15</v>
      </c>
      <c r="H751">
        <v>34.35</v>
      </c>
      <c r="J751">
        <f t="shared" si="11"/>
        <v>34.35</v>
      </c>
    </row>
    <row r="752" spans="1:10" x14ac:dyDescent="0.25">
      <c r="A752" t="s">
        <v>132</v>
      </c>
      <c r="B752" t="s">
        <v>133</v>
      </c>
      <c r="C752" t="s">
        <v>16</v>
      </c>
      <c r="D752" t="s">
        <v>17</v>
      </c>
      <c r="H752">
        <v>39.93</v>
      </c>
      <c r="J752">
        <f t="shared" si="11"/>
        <v>39.93</v>
      </c>
    </row>
    <row r="753" spans="1:10" x14ac:dyDescent="0.25">
      <c r="A753" t="s">
        <v>132</v>
      </c>
      <c r="B753" t="s">
        <v>133</v>
      </c>
      <c r="C753" t="s">
        <v>18</v>
      </c>
      <c r="D753" t="s">
        <v>19</v>
      </c>
      <c r="H753">
        <v>33.869999999999997</v>
      </c>
      <c r="J753">
        <f t="shared" si="11"/>
        <v>33.869999999999997</v>
      </c>
    </row>
    <row r="754" spans="1:10" x14ac:dyDescent="0.25">
      <c r="A754" t="s">
        <v>132</v>
      </c>
      <c r="B754" t="s">
        <v>133</v>
      </c>
      <c r="C754" t="s">
        <v>20</v>
      </c>
      <c r="D754" t="s">
        <v>21</v>
      </c>
      <c r="H754">
        <v>38.18</v>
      </c>
      <c r="J754">
        <f t="shared" si="11"/>
        <v>38.18</v>
      </c>
    </row>
    <row r="755" spans="1:10" x14ac:dyDescent="0.25">
      <c r="A755" t="s">
        <v>132</v>
      </c>
      <c r="B755" t="s">
        <v>133</v>
      </c>
      <c r="C755" t="s">
        <v>22</v>
      </c>
      <c r="D755" t="s">
        <v>23</v>
      </c>
      <c r="H755">
        <v>29.04</v>
      </c>
      <c r="J755">
        <f t="shared" si="11"/>
        <v>29.04</v>
      </c>
    </row>
    <row r="756" spans="1:10" x14ac:dyDescent="0.25">
      <c r="A756" t="s">
        <v>132</v>
      </c>
      <c r="B756" t="s">
        <v>133</v>
      </c>
      <c r="C756" t="s">
        <v>24</v>
      </c>
      <c r="D756" t="s">
        <v>25</v>
      </c>
      <c r="J756">
        <f t="shared" si="11"/>
        <v>0</v>
      </c>
    </row>
    <row r="757" spans="1:10" x14ac:dyDescent="0.25">
      <c r="A757" t="s">
        <v>132</v>
      </c>
      <c r="B757" t="s">
        <v>133</v>
      </c>
      <c r="C757" t="s">
        <v>26</v>
      </c>
      <c r="D757" t="s">
        <v>27</v>
      </c>
      <c r="J757">
        <f t="shared" si="11"/>
        <v>0</v>
      </c>
    </row>
    <row r="758" spans="1:10" x14ac:dyDescent="0.25">
      <c r="A758" t="s">
        <v>132</v>
      </c>
      <c r="B758" t="s">
        <v>133</v>
      </c>
      <c r="C758" t="s">
        <v>28</v>
      </c>
      <c r="D758" t="s">
        <v>29</v>
      </c>
      <c r="E758">
        <v>3</v>
      </c>
      <c r="J758">
        <f t="shared" si="11"/>
        <v>3</v>
      </c>
    </row>
    <row r="759" spans="1:10" x14ac:dyDescent="0.25">
      <c r="A759" t="s">
        <v>132</v>
      </c>
      <c r="B759" t="s">
        <v>133</v>
      </c>
      <c r="C759" t="s">
        <v>30</v>
      </c>
      <c r="D759" t="s">
        <v>31</v>
      </c>
      <c r="J759">
        <f t="shared" si="11"/>
        <v>0</v>
      </c>
    </row>
    <row r="760" spans="1:10" x14ac:dyDescent="0.25">
      <c r="A760" t="s">
        <v>132</v>
      </c>
      <c r="B760" t="s">
        <v>133</v>
      </c>
      <c r="C760" t="s">
        <v>32</v>
      </c>
      <c r="D760" t="s">
        <v>33</v>
      </c>
      <c r="E760">
        <v>16</v>
      </c>
      <c r="F760">
        <v>16</v>
      </c>
      <c r="G760">
        <v>16</v>
      </c>
      <c r="H760">
        <v>16</v>
      </c>
      <c r="I760">
        <v>16</v>
      </c>
      <c r="J760">
        <f t="shared" si="11"/>
        <v>16</v>
      </c>
    </row>
    <row r="761" spans="1:10" x14ac:dyDescent="0.25">
      <c r="A761" t="s">
        <v>132</v>
      </c>
      <c r="B761" t="s">
        <v>133</v>
      </c>
      <c r="C761" t="s">
        <v>34</v>
      </c>
      <c r="D761" t="s">
        <v>35</v>
      </c>
      <c r="E761">
        <v>18.571428298950199</v>
      </c>
      <c r="F761">
        <v>12.8571424484253</v>
      </c>
      <c r="G761">
        <v>11.904762268066399</v>
      </c>
      <c r="H761">
        <v>11.3207550048828</v>
      </c>
      <c r="I761">
        <v>14.1509437561035</v>
      </c>
      <c r="J761">
        <f t="shared" si="11"/>
        <v>18.571428298950199</v>
      </c>
    </row>
    <row r="762" spans="1:10" x14ac:dyDescent="0.25">
      <c r="A762" t="s">
        <v>132</v>
      </c>
      <c r="B762" t="s">
        <v>133</v>
      </c>
      <c r="C762" t="s">
        <v>36</v>
      </c>
      <c r="D762" t="s">
        <v>37</v>
      </c>
      <c r="J762">
        <f t="shared" si="11"/>
        <v>0</v>
      </c>
    </row>
    <row r="763" spans="1:10" x14ac:dyDescent="0.25">
      <c r="A763" t="s">
        <v>132</v>
      </c>
      <c r="B763" t="s">
        <v>133</v>
      </c>
      <c r="C763" t="s">
        <v>38</v>
      </c>
      <c r="D763" t="s">
        <v>39</v>
      </c>
      <c r="J763">
        <f t="shared" si="11"/>
        <v>0</v>
      </c>
    </row>
    <row r="764" spans="1:10" x14ac:dyDescent="0.25">
      <c r="A764" t="s">
        <v>132</v>
      </c>
      <c r="B764" t="s">
        <v>133</v>
      </c>
      <c r="C764" t="s">
        <v>40</v>
      </c>
      <c r="D764" t="s">
        <v>41</v>
      </c>
      <c r="E764">
        <v>78.985461000000001</v>
      </c>
      <c r="F764">
        <v>77.047269999999997</v>
      </c>
      <c r="G764">
        <v>72.488350999999994</v>
      </c>
      <c r="H764">
        <v>78.105203000000003</v>
      </c>
      <c r="J764">
        <f t="shared" si="11"/>
        <v>78.985461000000001</v>
      </c>
    </row>
    <row r="765" spans="1:10" x14ac:dyDescent="0.25">
      <c r="A765" t="s">
        <v>132</v>
      </c>
      <c r="B765" t="s">
        <v>133</v>
      </c>
      <c r="C765" t="s">
        <v>42</v>
      </c>
      <c r="D765" t="s">
        <v>43</v>
      </c>
      <c r="J765">
        <f t="shared" si="11"/>
        <v>0</v>
      </c>
    </row>
    <row r="766" spans="1:10" x14ac:dyDescent="0.25">
      <c r="A766" t="s">
        <v>132</v>
      </c>
      <c r="B766" t="s">
        <v>133</v>
      </c>
      <c r="C766" t="s">
        <v>44</v>
      </c>
      <c r="D766" t="s">
        <v>45</v>
      </c>
      <c r="E766">
        <v>15</v>
      </c>
      <c r="J766">
        <f t="shared" si="11"/>
        <v>15</v>
      </c>
    </row>
    <row r="767" spans="1:10" x14ac:dyDescent="0.25">
      <c r="A767" t="s">
        <v>134</v>
      </c>
      <c r="B767" t="s">
        <v>135</v>
      </c>
      <c r="C767" t="s">
        <v>11</v>
      </c>
      <c r="D767" t="s">
        <v>12</v>
      </c>
      <c r="J767">
        <f t="shared" si="11"/>
        <v>0</v>
      </c>
    </row>
    <row r="768" spans="1:10" x14ac:dyDescent="0.25">
      <c r="A768" t="s">
        <v>134</v>
      </c>
      <c r="B768" t="s">
        <v>135</v>
      </c>
      <c r="C768" t="s">
        <v>14</v>
      </c>
      <c r="D768" t="s">
        <v>15</v>
      </c>
      <c r="J768">
        <f t="shared" si="11"/>
        <v>0</v>
      </c>
    </row>
    <row r="769" spans="1:10" x14ac:dyDescent="0.25">
      <c r="A769" t="s">
        <v>134</v>
      </c>
      <c r="B769" t="s">
        <v>135</v>
      </c>
      <c r="C769" t="s">
        <v>16</v>
      </c>
      <c r="D769" t="s">
        <v>17</v>
      </c>
      <c r="J769">
        <f t="shared" si="11"/>
        <v>0</v>
      </c>
    </row>
    <row r="770" spans="1:10" x14ac:dyDescent="0.25">
      <c r="A770" t="s">
        <v>134</v>
      </c>
      <c r="B770" t="s">
        <v>135</v>
      </c>
      <c r="C770" t="s">
        <v>18</v>
      </c>
      <c r="D770" t="s">
        <v>19</v>
      </c>
      <c r="J770">
        <f t="shared" si="11"/>
        <v>0</v>
      </c>
    </row>
    <row r="771" spans="1:10" x14ac:dyDescent="0.25">
      <c r="A771" t="s">
        <v>134</v>
      </c>
      <c r="B771" t="s">
        <v>135</v>
      </c>
      <c r="C771" t="s">
        <v>20</v>
      </c>
      <c r="D771" t="s">
        <v>21</v>
      </c>
      <c r="J771">
        <f t="shared" ref="J771:J834" si="12">MAX(E771:I771)</f>
        <v>0</v>
      </c>
    </row>
    <row r="772" spans="1:10" x14ac:dyDescent="0.25">
      <c r="A772" t="s">
        <v>134</v>
      </c>
      <c r="B772" t="s">
        <v>135</v>
      </c>
      <c r="C772" t="s">
        <v>22</v>
      </c>
      <c r="D772" t="s">
        <v>23</v>
      </c>
      <c r="J772">
        <f t="shared" si="12"/>
        <v>0</v>
      </c>
    </row>
    <row r="773" spans="1:10" x14ac:dyDescent="0.25">
      <c r="A773" t="s">
        <v>134</v>
      </c>
      <c r="B773" t="s">
        <v>135</v>
      </c>
      <c r="C773" t="s">
        <v>24</v>
      </c>
      <c r="D773" t="s">
        <v>25</v>
      </c>
      <c r="J773">
        <f t="shared" si="12"/>
        <v>0</v>
      </c>
    </row>
    <row r="774" spans="1:10" x14ac:dyDescent="0.25">
      <c r="A774" t="s">
        <v>134</v>
      </c>
      <c r="B774" t="s">
        <v>135</v>
      </c>
      <c r="C774" t="s">
        <v>26</v>
      </c>
      <c r="D774" t="s">
        <v>27</v>
      </c>
      <c r="J774">
        <f t="shared" si="12"/>
        <v>0</v>
      </c>
    </row>
    <row r="775" spans="1:10" x14ac:dyDescent="0.25">
      <c r="A775" t="s">
        <v>134</v>
      </c>
      <c r="B775" t="s">
        <v>135</v>
      </c>
      <c r="C775" t="s">
        <v>28</v>
      </c>
      <c r="D775" t="s">
        <v>29</v>
      </c>
      <c r="E775">
        <v>5</v>
      </c>
      <c r="J775">
        <f t="shared" si="12"/>
        <v>5</v>
      </c>
    </row>
    <row r="776" spans="1:10" x14ac:dyDescent="0.25">
      <c r="A776" t="s">
        <v>134</v>
      </c>
      <c r="B776" t="s">
        <v>135</v>
      </c>
      <c r="C776" t="s">
        <v>30</v>
      </c>
      <c r="D776" t="s">
        <v>31</v>
      </c>
      <c r="J776">
        <f t="shared" si="12"/>
        <v>0</v>
      </c>
    </row>
    <row r="777" spans="1:10" x14ac:dyDescent="0.25">
      <c r="A777" t="s">
        <v>134</v>
      </c>
      <c r="B777" t="s">
        <v>135</v>
      </c>
      <c r="C777" t="s">
        <v>32</v>
      </c>
      <c r="D777" t="s">
        <v>33</v>
      </c>
      <c r="E777">
        <v>6</v>
      </c>
      <c r="F777">
        <v>6</v>
      </c>
      <c r="G777">
        <v>6</v>
      </c>
      <c r="H777">
        <v>6</v>
      </c>
      <c r="I777">
        <v>6</v>
      </c>
      <c r="J777">
        <f t="shared" si="12"/>
        <v>6</v>
      </c>
    </row>
    <row r="778" spans="1:10" x14ac:dyDescent="0.25">
      <c r="A778" t="s">
        <v>134</v>
      </c>
      <c r="B778" t="s">
        <v>135</v>
      </c>
      <c r="C778" t="s">
        <v>34</v>
      </c>
      <c r="D778" t="s">
        <v>35</v>
      </c>
      <c r="E778">
        <v>50.476188659667997</v>
      </c>
      <c r="F778">
        <v>46.666667938232401</v>
      </c>
      <c r="G778">
        <v>48.5714302062988</v>
      </c>
      <c r="H778">
        <v>45.754718780517599</v>
      </c>
      <c r="I778">
        <v>40.566036224365199</v>
      </c>
      <c r="J778">
        <f t="shared" si="12"/>
        <v>50.476188659667997</v>
      </c>
    </row>
    <row r="779" spans="1:10" x14ac:dyDescent="0.25">
      <c r="A779" t="s">
        <v>134</v>
      </c>
      <c r="B779" t="s">
        <v>135</v>
      </c>
      <c r="C779" t="s">
        <v>36</v>
      </c>
      <c r="D779" t="s">
        <v>37</v>
      </c>
      <c r="J779">
        <f t="shared" si="12"/>
        <v>0</v>
      </c>
    </row>
    <row r="780" spans="1:10" x14ac:dyDescent="0.25">
      <c r="A780" t="s">
        <v>134</v>
      </c>
      <c r="B780" t="s">
        <v>135</v>
      </c>
      <c r="C780" t="s">
        <v>38</v>
      </c>
      <c r="D780" t="s">
        <v>39</v>
      </c>
      <c r="J780">
        <f t="shared" si="12"/>
        <v>0</v>
      </c>
    </row>
    <row r="781" spans="1:10" x14ac:dyDescent="0.25">
      <c r="A781" t="s">
        <v>134</v>
      </c>
      <c r="B781" t="s">
        <v>135</v>
      </c>
      <c r="C781" t="s">
        <v>40</v>
      </c>
      <c r="D781" t="s">
        <v>41</v>
      </c>
      <c r="E781">
        <v>75.298857999999996</v>
      </c>
      <c r="F781">
        <v>73.588172</v>
      </c>
      <c r="G781">
        <v>65.078907999999998</v>
      </c>
      <c r="H781">
        <v>76.721147999999999</v>
      </c>
      <c r="J781">
        <f t="shared" si="12"/>
        <v>76.721147999999999</v>
      </c>
    </row>
    <row r="782" spans="1:10" x14ac:dyDescent="0.25">
      <c r="A782" t="s">
        <v>134</v>
      </c>
      <c r="B782" t="s">
        <v>135</v>
      </c>
      <c r="C782" t="s">
        <v>42</v>
      </c>
      <c r="D782" t="s">
        <v>43</v>
      </c>
      <c r="J782">
        <f t="shared" si="12"/>
        <v>0</v>
      </c>
    </row>
    <row r="783" spans="1:10" x14ac:dyDescent="0.25">
      <c r="A783" t="s">
        <v>134</v>
      </c>
      <c r="B783" t="s">
        <v>135</v>
      </c>
      <c r="C783" t="s">
        <v>44</v>
      </c>
      <c r="D783" t="s">
        <v>45</v>
      </c>
      <c r="E783">
        <v>18</v>
      </c>
      <c r="J783">
        <f t="shared" si="12"/>
        <v>18</v>
      </c>
    </row>
    <row r="784" spans="1:10" x14ac:dyDescent="0.25">
      <c r="A784" t="s">
        <v>136</v>
      </c>
      <c r="B784" t="s">
        <v>137</v>
      </c>
      <c r="C784" t="s">
        <v>11</v>
      </c>
      <c r="D784" t="s">
        <v>12</v>
      </c>
      <c r="J784">
        <f t="shared" si="12"/>
        <v>0</v>
      </c>
    </row>
    <row r="785" spans="1:10" x14ac:dyDescent="0.25">
      <c r="A785" t="s">
        <v>136</v>
      </c>
      <c r="B785" t="s">
        <v>137</v>
      </c>
      <c r="C785" t="s">
        <v>14</v>
      </c>
      <c r="D785" t="s">
        <v>15</v>
      </c>
      <c r="J785">
        <f t="shared" si="12"/>
        <v>0</v>
      </c>
    </row>
    <row r="786" spans="1:10" x14ac:dyDescent="0.25">
      <c r="A786" t="s">
        <v>136</v>
      </c>
      <c r="B786" t="s">
        <v>137</v>
      </c>
      <c r="C786" t="s">
        <v>16</v>
      </c>
      <c r="D786" t="s">
        <v>17</v>
      </c>
      <c r="J786">
        <f t="shared" si="12"/>
        <v>0</v>
      </c>
    </row>
    <row r="787" spans="1:10" x14ac:dyDescent="0.25">
      <c r="A787" t="s">
        <v>136</v>
      </c>
      <c r="B787" t="s">
        <v>137</v>
      </c>
      <c r="C787" t="s">
        <v>18</v>
      </c>
      <c r="D787" t="s">
        <v>19</v>
      </c>
      <c r="J787">
        <f t="shared" si="12"/>
        <v>0</v>
      </c>
    </row>
    <row r="788" spans="1:10" x14ac:dyDescent="0.25">
      <c r="A788" t="s">
        <v>136</v>
      </c>
      <c r="B788" t="s">
        <v>137</v>
      </c>
      <c r="C788" t="s">
        <v>20</v>
      </c>
      <c r="D788" t="s">
        <v>21</v>
      </c>
      <c r="J788">
        <f t="shared" si="12"/>
        <v>0</v>
      </c>
    </row>
    <row r="789" spans="1:10" x14ac:dyDescent="0.25">
      <c r="A789" t="s">
        <v>136</v>
      </c>
      <c r="B789" t="s">
        <v>137</v>
      </c>
      <c r="C789" t="s">
        <v>22</v>
      </c>
      <c r="D789" t="s">
        <v>23</v>
      </c>
      <c r="J789">
        <f t="shared" si="12"/>
        <v>0</v>
      </c>
    </row>
    <row r="790" spans="1:10" x14ac:dyDescent="0.25">
      <c r="A790" t="s">
        <v>136</v>
      </c>
      <c r="B790" t="s">
        <v>137</v>
      </c>
      <c r="C790" t="s">
        <v>24</v>
      </c>
      <c r="D790" t="s">
        <v>25</v>
      </c>
      <c r="J790">
        <f t="shared" si="12"/>
        <v>0</v>
      </c>
    </row>
    <row r="791" spans="1:10" x14ac:dyDescent="0.25">
      <c r="A791" t="s">
        <v>136</v>
      </c>
      <c r="B791" t="s">
        <v>137</v>
      </c>
      <c r="C791" t="s">
        <v>26</v>
      </c>
      <c r="D791" t="s">
        <v>27</v>
      </c>
      <c r="J791">
        <f t="shared" si="12"/>
        <v>0</v>
      </c>
    </row>
    <row r="792" spans="1:10" x14ac:dyDescent="0.25">
      <c r="A792" t="s">
        <v>136</v>
      </c>
      <c r="B792" t="s">
        <v>137</v>
      </c>
      <c r="C792" t="s">
        <v>28</v>
      </c>
      <c r="D792" t="s">
        <v>29</v>
      </c>
      <c r="E792">
        <v>2</v>
      </c>
      <c r="J792">
        <f t="shared" si="12"/>
        <v>2</v>
      </c>
    </row>
    <row r="793" spans="1:10" x14ac:dyDescent="0.25">
      <c r="A793" t="s">
        <v>136</v>
      </c>
      <c r="B793" t="s">
        <v>137</v>
      </c>
      <c r="C793" t="s">
        <v>30</v>
      </c>
      <c r="D793" t="s">
        <v>31</v>
      </c>
      <c r="J793">
        <f t="shared" si="12"/>
        <v>0</v>
      </c>
    </row>
    <row r="794" spans="1:10" x14ac:dyDescent="0.25">
      <c r="A794" t="s">
        <v>136</v>
      </c>
      <c r="B794" t="s">
        <v>137</v>
      </c>
      <c r="C794" t="s">
        <v>32</v>
      </c>
      <c r="D794" t="s">
        <v>33</v>
      </c>
      <c r="E794">
        <v>6</v>
      </c>
      <c r="F794">
        <v>6</v>
      </c>
      <c r="G794">
        <v>6</v>
      </c>
      <c r="H794">
        <v>6</v>
      </c>
      <c r="I794">
        <v>6</v>
      </c>
      <c r="J794">
        <f t="shared" si="12"/>
        <v>6</v>
      </c>
    </row>
    <row r="795" spans="1:10" x14ac:dyDescent="0.25">
      <c r="A795" t="s">
        <v>136</v>
      </c>
      <c r="B795" t="s">
        <v>137</v>
      </c>
      <c r="C795" t="s">
        <v>34</v>
      </c>
      <c r="D795" t="s">
        <v>35</v>
      </c>
      <c r="E795">
        <v>8.5714282989502006</v>
      </c>
      <c r="F795">
        <v>7.6190476417541504</v>
      </c>
      <c r="G795">
        <v>5.2380952835082999</v>
      </c>
      <c r="H795">
        <v>5.1886792182922399</v>
      </c>
      <c r="I795">
        <v>6.1320753097534197</v>
      </c>
      <c r="J795">
        <f t="shared" si="12"/>
        <v>8.5714282989502006</v>
      </c>
    </row>
    <row r="796" spans="1:10" x14ac:dyDescent="0.25">
      <c r="A796" t="s">
        <v>136</v>
      </c>
      <c r="B796" t="s">
        <v>137</v>
      </c>
      <c r="C796" t="s">
        <v>36</v>
      </c>
      <c r="D796" t="s">
        <v>37</v>
      </c>
      <c r="J796">
        <f t="shared" si="12"/>
        <v>0</v>
      </c>
    </row>
    <row r="797" spans="1:10" x14ac:dyDescent="0.25">
      <c r="A797" t="s">
        <v>136</v>
      </c>
      <c r="B797" t="s">
        <v>137</v>
      </c>
      <c r="C797" t="s">
        <v>38</v>
      </c>
      <c r="D797" t="s">
        <v>39</v>
      </c>
      <c r="J797">
        <f t="shared" si="12"/>
        <v>0</v>
      </c>
    </row>
    <row r="798" spans="1:10" x14ac:dyDescent="0.25">
      <c r="A798" t="s">
        <v>136</v>
      </c>
      <c r="B798" t="s">
        <v>137</v>
      </c>
      <c r="C798" t="s">
        <v>40</v>
      </c>
      <c r="D798" t="s">
        <v>41</v>
      </c>
      <c r="E798">
        <v>70.181115000000005</v>
      </c>
      <c r="F798">
        <v>69.344311000000005</v>
      </c>
      <c r="G798">
        <v>66.220327999999995</v>
      </c>
      <c r="H798">
        <v>69.511574999999993</v>
      </c>
      <c r="J798">
        <f t="shared" si="12"/>
        <v>70.181115000000005</v>
      </c>
    </row>
    <row r="799" spans="1:10" x14ac:dyDescent="0.25">
      <c r="A799" t="s">
        <v>136</v>
      </c>
      <c r="B799" t="s">
        <v>137</v>
      </c>
      <c r="C799" t="s">
        <v>42</v>
      </c>
      <c r="D799" t="s">
        <v>43</v>
      </c>
      <c r="J799">
        <f t="shared" si="12"/>
        <v>0</v>
      </c>
    </row>
    <row r="800" spans="1:10" x14ac:dyDescent="0.25">
      <c r="A800" t="s">
        <v>136</v>
      </c>
      <c r="B800" t="s">
        <v>137</v>
      </c>
      <c r="C800" t="s">
        <v>44</v>
      </c>
      <c r="D800" t="s">
        <v>45</v>
      </c>
      <c r="E800">
        <v>97</v>
      </c>
      <c r="J800">
        <f t="shared" si="12"/>
        <v>97</v>
      </c>
    </row>
    <row r="801" spans="1:10" x14ac:dyDescent="0.25">
      <c r="A801" t="s">
        <v>138</v>
      </c>
      <c r="B801" t="s">
        <v>139</v>
      </c>
      <c r="C801" t="s">
        <v>11</v>
      </c>
      <c r="D801" t="s">
        <v>12</v>
      </c>
      <c r="G801">
        <v>37.85</v>
      </c>
      <c r="J801">
        <f t="shared" si="12"/>
        <v>37.85</v>
      </c>
    </row>
    <row r="802" spans="1:10" x14ac:dyDescent="0.25">
      <c r="A802" t="s">
        <v>138</v>
      </c>
      <c r="B802" t="s">
        <v>139</v>
      </c>
      <c r="C802" t="s">
        <v>14</v>
      </c>
      <c r="D802" t="s">
        <v>15</v>
      </c>
      <c r="G802">
        <v>28.85</v>
      </c>
      <c r="J802">
        <f t="shared" si="12"/>
        <v>28.85</v>
      </c>
    </row>
    <row r="803" spans="1:10" x14ac:dyDescent="0.25">
      <c r="A803" t="s">
        <v>138</v>
      </c>
      <c r="B803" t="s">
        <v>139</v>
      </c>
      <c r="C803" t="s">
        <v>16</v>
      </c>
      <c r="D803" t="s">
        <v>17</v>
      </c>
      <c r="G803">
        <v>48.56</v>
      </c>
      <c r="J803">
        <f t="shared" si="12"/>
        <v>48.56</v>
      </c>
    </row>
    <row r="804" spans="1:10" x14ac:dyDescent="0.25">
      <c r="A804" t="s">
        <v>138</v>
      </c>
      <c r="B804" t="s">
        <v>139</v>
      </c>
      <c r="C804" t="s">
        <v>18</v>
      </c>
      <c r="D804" t="s">
        <v>19</v>
      </c>
      <c r="G804">
        <v>26.97</v>
      </c>
      <c r="J804">
        <f t="shared" si="12"/>
        <v>26.97</v>
      </c>
    </row>
    <row r="805" spans="1:10" x14ac:dyDescent="0.25">
      <c r="A805" t="s">
        <v>138</v>
      </c>
      <c r="B805" t="s">
        <v>139</v>
      </c>
      <c r="C805" t="s">
        <v>20</v>
      </c>
      <c r="D805" t="s">
        <v>21</v>
      </c>
      <c r="G805">
        <v>36.1</v>
      </c>
      <c r="J805">
        <f t="shared" si="12"/>
        <v>36.1</v>
      </c>
    </row>
    <row r="806" spans="1:10" x14ac:dyDescent="0.25">
      <c r="A806" t="s">
        <v>138</v>
      </c>
      <c r="B806" t="s">
        <v>139</v>
      </c>
      <c r="C806" t="s">
        <v>22</v>
      </c>
      <c r="D806" t="s">
        <v>23</v>
      </c>
      <c r="G806">
        <v>31.83</v>
      </c>
      <c r="J806">
        <f t="shared" si="12"/>
        <v>31.83</v>
      </c>
    </row>
    <row r="807" spans="1:10" x14ac:dyDescent="0.25">
      <c r="A807" t="s">
        <v>138</v>
      </c>
      <c r="B807" t="s">
        <v>139</v>
      </c>
      <c r="C807" t="s">
        <v>24</v>
      </c>
      <c r="D807" t="s">
        <v>25</v>
      </c>
      <c r="J807">
        <f t="shared" si="12"/>
        <v>0</v>
      </c>
    </row>
    <row r="808" spans="1:10" x14ac:dyDescent="0.25">
      <c r="A808" t="s">
        <v>138</v>
      </c>
      <c r="B808" t="s">
        <v>139</v>
      </c>
      <c r="C808" t="s">
        <v>26</v>
      </c>
      <c r="D808" t="s">
        <v>27</v>
      </c>
      <c r="J808">
        <f t="shared" si="12"/>
        <v>0</v>
      </c>
    </row>
    <row r="809" spans="1:10" x14ac:dyDescent="0.25">
      <c r="A809" t="s">
        <v>138</v>
      </c>
      <c r="B809" t="s">
        <v>139</v>
      </c>
      <c r="C809" t="s">
        <v>28</v>
      </c>
      <c r="D809" t="s">
        <v>29</v>
      </c>
      <c r="E809">
        <v>3</v>
      </c>
      <c r="J809">
        <f t="shared" si="12"/>
        <v>3</v>
      </c>
    </row>
    <row r="810" spans="1:10" x14ac:dyDescent="0.25">
      <c r="A810" t="s">
        <v>138</v>
      </c>
      <c r="B810" t="s">
        <v>139</v>
      </c>
      <c r="C810" t="s">
        <v>30</v>
      </c>
      <c r="D810" t="s">
        <v>31</v>
      </c>
      <c r="J810">
        <f t="shared" si="12"/>
        <v>0</v>
      </c>
    </row>
    <row r="811" spans="1:10" x14ac:dyDescent="0.25">
      <c r="A811" t="s">
        <v>138</v>
      </c>
      <c r="B811" t="s">
        <v>139</v>
      </c>
      <c r="C811" t="s">
        <v>32</v>
      </c>
      <c r="D811" t="s">
        <v>33</v>
      </c>
      <c r="E811">
        <v>12</v>
      </c>
      <c r="F811">
        <v>12</v>
      </c>
      <c r="G811">
        <v>12</v>
      </c>
      <c r="H811">
        <v>12</v>
      </c>
      <c r="I811">
        <v>12</v>
      </c>
      <c r="J811">
        <f t="shared" si="12"/>
        <v>12</v>
      </c>
    </row>
    <row r="812" spans="1:10" x14ac:dyDescent="0.25">
      <c r="A812" t="s">
        <v>138</v>
      </c>
      <c r="B812" t="s">
        <v>139</v>
      </c>
      <c r="C812" t="s">
        <v>34</v>
      </c>
      <c r="D812" t="s">
        <v>35</v>
      </c>
      <c r="E812">
        <v>21.428571701049801</v>
      </c>
      <c r="F812">
        <v>17.619047164916999</v>
      </c>
      <c r="G812">
        <v>14.761904716491699</v>
      </c>
      <c r="H812">
        <v>17.9245281219482</v>
      </c>
      <c r="I812">
        <v>15.0943393707275</v>
      </c>
      <c r="J812">
        <f t="shared" si="12"/>
        <v>21.428571701049801</v>
      </c>
    </row>
    <row r="813" spans="1:10" x14ac:dyDescent="0.25">
      <c r="A813" t="s">
        <v>138</v>
      </c>
      <c r="B813" t="s">
        <v>139</v>
      </c>
      <c r="C813" t="s">
        <v>36</v>
      </c>
      <c r="D813" t="s">
        <v>37</v>
      </c>
      <c r="E813">
        <v>11.197468643693799</v>
      </c>
      <c r="J813">
        <f t="shared" si="12"/>
        <v>11.197468643693799</v>
      </c>
    </row>
    <row r="814" spans="1:10" x14ac:dyDescent="0.25">
      <c r="A814" t="s">
        <v>138</v>
      </c>
      <c r="B814" t="s">
        <v>139</v>
      </c>
      <c r="C814" t="s">
        <v>38</v>
      </c>
      <c r="D814" t="s">
        <v>39</v>
      </c>
      <c r="E814">
        <v>0.202738011804246</v>
      </c>
      <c r="J814">
        <f t="shared" si="12"/>
        <v>0.202738011804246</v>
      </c>
    </row>
    <row r="815" spans="1:10" x14ac:dyDescent="0.25">
      <c r="A815" t="s">
        <v>138</v>
      </c>
      <c r="B815" t="s">
        <v>139</v>
      </c>
      <c r="C815" t="s">
        <v>40</v>
      </c>
      <c r="D815" t="s">
        <v>41</v>
      </c>
      <c r="E815">
        <v>81.099920999999995</v>
      </c>
      <c r="F815">
        <v>79.455258999999998</v>
      </c>
      <c r="G815">
        <v>76.030826000000005</v>
      </c>
      <c r="H815">
        <v>82.010129000000006</v>
      </c>
      <c r="J815">
        <f t="shared" si="12"/>
        <v>82.010129000000006</v>
      </c>
    </row>
    <row r="816" spans="1:10" x14ac:dyDescent="0.25">
      <c r="A816" t="s">
        <v>138</v>
      </c>
      <c r="B816" t="s">
        <v>139</v>
      </c>
      <c r="C816" t="s">
        <v>42</v>
      </c>
      <c r="D816" t="s">
        <v>43</v>
      </c>
      <c r="J816">
        <f t="shared" si="12"/>
        <v>0</v>
      </c>
    </row>
    <row r="817" spans="1:10" x14ac:dyDescent="0.25">
      <c r="A817" t="s">
        <v>138</v>
      </c>
      <c r="B817" t="s">
        <v>139</v>
      </c>
      <c r="C817" t="s">
        <v>44</v>
      </c>
      <c r="D817" t="s">
        <v>45</v>
      </c>
      <c r="E817">
        <v>42</v>
      </c>
      <c r="J817">
        <f t="shared" si="12"/>
        <v>42</v>
      </c>
    </row>
    <row r="818" spans="1:10" x14ac:dyDescent="0.25">
      <c r="A818" t="s">
        <v>140</v>
      </c>
      <c r="B818" t="s">
        <v>141</v>
      </c>
      <c r="C818" t="s">
        <v>11</v>
      </c>
      <c r="D818" t="s">
        <v>12</v>
      </c>
      <c r="G818">
        <v>97.8</v>
      </c>
      <c r="J818">
        <f t="shared" si="12"/>
        <v>97.8</v>
      </c>
    </row>
    <row r="819" spans="1:10" x14ac:dyDescent="0.25">
      <c r="A819" t="s">
        <v>140</v>
      </c>
      <c r="B819" t="s">
        <v>141</v>
      </c>
      <c r="C819" t="s">
        <v>14</v>
      </c>
      <c r="D819" t="s">
        <v>15</v>
      </c>
      <c r="G819">
        <v>98.19</v>
      </c>
      <c r="J819">
        <f t="shared" si="12"/>
        <v>98.19</v>
      </c>
    </row>
    <row r="820" spans="1:10" x14ac:dyDescent="0.25">
      <c r="A820" t="s">
        <v>140</v>
      </c>
      <c r="B820" t="s">
        <v>141</v>
      </c>
      <c r="C820" t="s">
        <v>16</v>
      </c>
      <c r="D820" t="s">
        <v>17</v>
      </c>
      <c r="G820">
        <v>97.33</v>
      </c>
      <c r="J820">
        <f t="shared" si="12"/>
        <v>97.33</v>
      </c>
    </row>
    <row r="821" spans="1:10" x14ac:dyDescent="0.25">
      <c r="A821" t="s">
        <v>140</v>
      </c>
      <c r="B821" t="s">
        <v>141</v>
      </c>
      <c r="C821" t="s">
        <v>18</v>
      </c>
      <c r="D821" t="s">
        <v>19</v>
      </c>
      <c r="G821">
        <v>96.46</v>
      </c>
      <c r="J821">
        <f t="shared" si="12"/>
        <v>96.46</v>
      </c>
    </row>
    <row r="822" spans="1:10" x14ac:dyDescent="0.25">
      <c r="A822" t="s">
        <v>140</v>
      </c>
      <c r="B822" t="s">
        <v>141</v>
      </c>
      <c r="C822" t="s">
        <v>20</v>
      </c>
      <c r="D822" t="s">
        <v>21</v>
      </c>
      <c r="G822">
        <v>88.88</v>
      </c>
      <c r="J822">
        <f t="shared" si="12"/>
        <v>88.88</v>
      </c>
    </row>
    <row r="823" spans="1:10" x14ac:dyDescent="0.25">
      <c r="A823" t="s">
        <v>140</v>
      </c>
      <c r="B823" t="s">
        <v>141</v>
      </c>
      <c r="C823" t="s">
        <v>22</v>
      </c>
      <c r="D823" t="s">
        <v>23</v>
      </c>
      <c r="G823">
        <v>96.14</v>
      </c>
      <c r="J823">
        <f t="shared" si="12"/>
        <v>96.14</v>
      </c>
    </row>
    <row r="824" spans="1:10" x14ac:dyDescent="0.25">
      <c r="A824" t="s">
        <v>140</v>
      </c>
      <c r="B824" t="s">
        <v>141</v>
      </c>
      <c r="C824" t="s">
        <v>24</v>
      </c>
      <c r="D824" t="s">
        <v>25</v>
      </c>
      <c r="J824">
        <f t="shared" si="12"/>
        <v>0</v>
      </c>
    </row>
    <row r="825" spans="1:10" x14ac:dyDescent="0.25">
      <c r="A825" t="s">
        <v>140</v>
      </c>
      <c r="B825" t="s">
        <v>141</v>
      </c>
      <c r="C825" t="s">
        <v>26</v>
      </c>
      <c r="D825" t="s">
        <v>27</v>
      </c>
      <c r="I825">
        <v>2.6</v>
      </c>
      <c r="J825">
        <f t="shared" si="12"/>
        <v>2.6</v>
      </c>
    </row>
    <row r="826" spans="1:10" x14ac:dyDescent="0.25">
      <c r="A826" t="s">
        <v>140</v>
      </c>
      <c r="B826" t="s">
        <v>141</v>
      </c>
      <c r="C826" t="s">
        <v>28</v>
      </c>
      <c r="D826" t="s">
        <v>29</v>
      </c>
      <c r="E826">
        <v>10</v>
      </c>
      <c r="J826">
        <f t="shared" si="12"/>
        <v>10</v>
      </c>
    </row>
    <row r="827" spans="1:10" x14ac:dyDescent="0.25">
      <c r="A827" t="s">
        <v>140</v>
      </c>
      <c r="B827" t="s">
        <v>141</v>
      </c>
      <c r="C827" t="s">
        <v>30</v>
      </c>
      <c r="D827" t="s">
        <v>31</v>
      </c>
      <c r="J827">
        <f t="shared" si="12"/>
        <v>0</v>
      </c>
    </row>
    <row r="828" spans="1:10" x14ac:dyDescent="0.25">
      <c r="A828" t="s">
        <v>140</v>
      </c>
      <c r="B828" t="s">
        <v>141</v>
      </c>
      <c r="C828" t="s">
        <v>32</v>
      </c>
      <c r="D828" t="s">
        <v>33</v>
      </c>
      <c r="E828">
        <v>9</v>
      </c>
      <c r="F828">
        <v>9</v>
      </c>
      <c r="G828">
        <v>9</v>
      </c>
      <c r="H828">
        <v>9</v>
      </c>
      <c r="I828">
        <v>9</v>
      </c>
      <c r="J828">
        <f t="shared" si="12"/>
        <v>9</v>
      </c>
    </row>
    <row r="829" spans="1:10" x14ac:dyDescent="0.25">
      <c r="A829" t="s">
        <v>140</v>
      </c>
      <c r="B829" t="s">
        <v>141</v>
      </c>
      <c r="C829" t="s">
        <v>34</v>
      </c>
      <c r="D829" t="s">
        <v>35</v>
      </c>
      <c r="E829">
        <v>91.904762268066406</v>
      </c>
      <c r="F829">
        <v>92.857139587402301</v>
      </c>
      <c r="G829">
        <v>94.285713195800795</v>
      </c>
      <c r="H829">
        <v>92.452827453613295</v>
      </c>
      <c r="I829">
        <v>93.396224975585895</v>
      </c>
      <c r="J829">
        <f t="shared" si="12"/>
        <v>94.285713195800795</v>
      </c>
    </row>
    <row r="830" spans="1:10" x14ac:dyDescent="0.25">
      <c r="A830" t="s">
        <v>140</v>
      </c>
      <c r="B830" t="s">
        <v>141</v>
      </c>
      <c r="C830" t="s">
        <v>36</v>
      </c>
      <c r="D830" t="s">
        <v>37</v>
      </c>
      <c r="J830">
        <f t="shared" si="12"/>
        <v>0</v>
      </c>
    </row>
    <row r="831" spans="1:10" x14ac:dyDescent="0.25">
      <c r="A831" t="s">
        <v>140</v>
      </c>
      <c r="B831" t="s">
        <v>141</v>
      </c>
      <c r="C831" t="s">
        <v>38</v>
      </c>
      <c r="D831" t="s">
        <v>39</v>
      </c>
      <c r="J831">
        <f t="shared" si="12"/>
        <v>0</v>
      </c>
    </row>
    <row r="832" spans="1:10" x14ac:dyDescent="0.25">
      <c r="A832" t="s">
        <v>140</v>
      </c>
      <c r="B832" t="s">
        <v>141</v>
      </c>
      <c r="C832" t="s">
        <v>40</v>
      </c>
      <c r="D832" t="s">
        <v>41</v>
      </c>
      <c r="E832">
        <v>94.539866000000004</v>
      </c>
      <c r="F832">
        <v>94.528649999999999</v>
      </c>
      <c r="G832">
        <v>94.421356000000003</v>
      </c>
      <c r="H832">
        <v>93.992239999999995</v>
      </c>
      <c r="J832">
        <f t="shared" si="12"/>
        <v>94.539866000000004</v>
      </c>
    </row>
    <row r="833" spans="1:10" x14ac:dyDescent="0.25">
      <c r="A833" t="s">
        <v>140</v>
      </c>
      <c r="B833" t="s">
        <v>141</v>
      </c>
      <c r="C833" t="s">
        <v>42</v>
      </c>
      <c r="D833" t="s">
        <v>43</v>
      </c>
      <c r="J833">
        <f t="shared" si="12"/>
        <v>0</v>
      </c>
    </row>
    <row r="834" spans="1:10" x14ac:dyDescent="0.25">
      <c r="A834" t="s">
        <v>140</v>
      </c>
      <c r="B834" t="s">
        <v>141</v>
      </c>
      <c r="C834" t="s">
        <v>44</v>
      </c>
      <c r="D834" t="s">
        <v>45</v>
      </c>
      <c r="E834">
        <v>1.5</v>
      </c>
      <c r="J834">
        <f t="shared" si="12"/>
        <v>1.5</v>
      </c>
    </row>
    <row r="835" spans="1:10" x14ac:dyDescent="0.25">
      <c r="A835" t="s">
        <v>142</v>
      </c>
      <c r="B835" t="s">
        <v>143</v>
      </c>
      <c r="C835" t="s">
        <v>11</v>
      </c>
      <c r="D835" t="s">
        <v>12</v>
      </c>
      <c r="G835">
        <v>88.22</v>
      </c>
      <c r="J835">
        <f t="shared" ref="J835:J898" si="13">MAX(E835:I835)</f>
        <v>88.22</v>
      </c>
    </row>
    <row r="836" spans="1:10" x14ac:dyDescent="0.25">
      <c r="A836" t="s">
        <v>142</v>
      </c>
      <c r="B836" t="s">
        <v>143</v>
      </c>
      <c r="C836" t="s">
        <v>14</v>
      </c>
      <c r="D836" t="s">
        <v>15</v>
      </c>
      <c r="G836">
        <v>86.88</v>
      </c>
      <c r="J836">
        <f t="shared" si="13"/>
        <v>86.88</v>
      </c>
    </row>
    <row r="837" spans="1:10" x14ac:dyDescent="0.25">
      <c r="A837" t="s">
        <v>142</v>
      </c>
      <c r="B837" t="s">
        <v>143</v>
      </c>
      <c r="C837" t="s">
        <v>16</v>
      </c>
      <c r="D837" t="s">
        <v>17</v>
      </c>
      <c r="G837">
        <v>89.73</v>
      </c>
      <c r="J837">
        <f t="shared" si="13"/>
        <v>89.73</v>
      </c>
    </row>
    <row r="838" spans="1:10" x14ac:dyDescent="0.25">
      <c r="A838" t="s">
        <v>142</v>
      </c>
      <c r="B838" t="s">
        <v>143</v>
      </c>
      <c r="C838" t="s">
        <v>18</v>
      </c>
      <c r="D838" t="s">
        <v>19</v>
      </c>
      <c r="G838">
        <v>81.25</v>
      </c>
      <c r="J838">
        <f t="shared" si="13"/>
        <v>81.25</v>
      </c>
    </row>
    <row r="839" spans="1:10" x14ac:dyDescent="0.25">
      <c r="A839" t="s">
        <v>142</v>
      </c>
      <c r="B839" t="s">
        <v>143</v>
      </c>
      <c r="C839" t="s">
        <v>20</v>
      </c>
      <c r="D839" t="s">
        <v>21</v>
      </c>
      <c r="G839">
        <v>92.49</v>
      </c>
      <c r="J839">
        <f t="shared" si="13"/>
        <v>92.49</v>
      </c>
    </row>
    <row r="840" spans="1:10" x14ac:dyDescent="0.25">
      <c r="A840" t="s">
        <v>142</v>
      </c>
      <c r="B840" t="s">
        <v>143</v>
      </c>
      <c r="C840" t="s">
        <v>22</v>
      </c>
      <c r="D840" t="s">
        <v>23</v>
      </c>
      <c r="G840">
        <v>71.58</v>
      </c>
      <c r="J840">
        <f t="shared" si="13"/>
        <v>71.58</v>
      </c>
    </row>
    <row r="841" spans="1:10" x14ac:dyDescent="0.25">
      <c r="A841" t="s">
        <v>142</v>
      </c>
      <c r="B841" t="s">
        <v>143</v>
      </c>
      <c r="C841" t="s">
        <v>24</v>
      </c>
      <c r="D841" t="s">
        <v>25</v>
      </c>
      <c r="J841">
        <f t="shared" si="13"/>
        <v>0</v>
      </c>
    </row>
    <row r="842" spans="1:10" x14ac:dyDescent="0.25">
      <c r="A842" t="s">
        <v>142</v>
      </c>
      <c r="B842" t="s">
        <v>143</v>
      </c>
      <c r="C842" t="s">
        <v>26</v>
      </c>
      <c r="D842" t="s">
        <v>27</v>
      </c>
      <c r="E842">
        <v>4.7</v>
      </c>
      <c r="I842">
        <v>1.2</v>
      </c>
      <c r="J842">
        <f t="shared" si="13"/>
        <v>4.7</v>
      </c>
    </row>
    <row r="843" spans="1:10" x14ac:dyDescent="0.25">
      <c r="A843" t="s">
        <v>142</v>
      </c>
      <c r="B843" t="s">
        <v>143</v>
      </c>
      <c r="C843" t="s">
        <v>28</v>
      </c>
      <c r="D843" t="s">
        <v>29</v>
      </c>
      <c r="E843">
        <v>2</v>
      </c>
      <c r="J843">
        <f t="shared" si="13"/>
        <v>2</v>
      </c>
    </row>
    <row r="844" spans="1:10" x14ac:dyDescent="0.25">
      <c r="A844" t="s">
        <v>142</v>
      </c>
      <c r="B844" t="s">
        <v>143</v>
      </c>
      <c r="C844" t="s">
        <v>30</v>
      </c>
      <c r="D844" t="s">
        <v>31</v>
      </c>
      <c r="E844">
        <v>83.3683015926417</v>
      </c>
      <c r="F844">
        <v>95.937202249321601</v>
      </c>
      <c r="G844">
        <v>86.923686246622296</v>
      </c>
      <c r="H844">
        <v>75.525953475136205</v>
      </c>
      <c r="J844">
        <f t="shared" si="13"/>
        <v>95.937202249321601</v>
      </c>
    </row>
    <row r="845" spans="1:10" x14ac:dyDescent="0.25">
      <c r="A845" t="s">
        <v>142</v>
      </c>
      <c r="B845" t="s">
        <v>143</v>
      </c>
      <c r="C845" t="s">
        <v>32</v>
      </c>
      <c r="D845" t="s">
        <v>33</v>
      </c>
      <c r="E845">
        <v>13</v>
      </c>
      <c r="F845">
        <v>13</v>
      </c>
      <c r="G845">
        <v>13</v>
      </c>
      <c r="H845">
        <v>13</v>
      </c>
      <c r="I845">
        <v>13</v>
      </c>
      <c r="J845">
        <f t="shared" si="13"/>
        <v>13</v>
      </c>
    </row>
    <row r="846" spans="1:10" x14ac:dyDescent="0.25">
      <c r="A846" t="s">
        <v>142</v>
      </c>
      <c r="B846" t="s">
        <v>143</v>
      </c>
      <c r="C846" t="s">
        <v>34</v>
      </c>
      <c r="D846" t="s">
        <v>35</v>
      </c>
      <c r="E846">
        <v>57.619049072265597</v>
      </c>
      <c r="F846">
        <v>58.5714302062988</v>
      </c>
      <c r="G846">
        <v>55.238094329833999</v>
      </c>
      <c r="H846">
        <v>51.415092468261697</v>
      </c>
      <c r="I846">
        <v>54.7169799804688</v>
      </c>
      <c r="J846">
        <f t="shared" si="13"/>
        <v>58.5714302062988</v>
      </c>
    </row>
    <row r="847" spans="1:10" x14ac:dyDescent="0.25">
      <c r="A847" t="s">
        <v>142</v>
      </c>
      <c r="B847" t="s">
        <v>143</v>
      </c>
      <c r="C847" t="s">
        <v>36</v>
      </c>
      <c r="D847" t="s">
        <v>37</v>
      </c>
      <c r="J847">
        <f t="shared" si="13"/>
        <v>0</v>
      </c>
    </row>
    <row r="848" spans="1:10" x14ac:dyDescent="0.25">
      <c r="A848" t="s">
        <v>142</v>
      </c>
      <c r="B848" t="s">
        <v>143</v>
      </c>
      <c r="C848" t="s">
        <v>38</v>
      </c>
      <c r="D848" t="s">
        <v>39</v>
      </c>
      <c r="J848">
        <f t="shared" si="13"/>
        <v>0</v>
      </c>
    </row>
    <row r="849" spans="1:10" x14ac:dyDescent="0.25">
      <c r="A849" t="s">
        <v>142</v>
      </c>
      <c r="B849" t="s">
        <v>143</v>
      </c>
      <c r="C849" t="s">
        <v>40</v>
      </c>
      <c r="D849" t="s">
        <v>41</v>
      </c>
      <c r="E849">
        <v>87.281903</v>
      </c>
      <c r="F849">
        <v>86.706773999999996</v>
      </c>
      <c r="G849">
        <v>84.033985999999999</v>
      </c>
      <c r="H849">
        <v>87.002623999999997</v>
      </c>
      <c r="J849">
        <f t="shared" si="13"/>
        <v>87.281903</v>
      </c>
    </row>
    <row r="850" spans="1:10" x14ac:dyDescent="0.25">
      <c r="A850" t="s">
        <v>142</v>
      </c>
      <c r="B850" t="s">
        <v>143</v>
      </c>
      <c r="C850" t="s">
        <v>42</v>
      </c>
      <c r="D850" t="s">
        <v>43</v>
      </c>
      <c r="J850">
        <f t="shared" si="13"/>
        <v>0</v>
      </c>
    </row>
    <row r="851" spans="1:10" x14ac:dyDescent="0.25">
      <c r="A851" t="s">
        <v>142</v>
      </c>
      <c r="B851" t="s">
        <v>143</v>
      </c>
      <c r="C851" t="s">
        <v>44</v>
      </c>
      <c r="D851" t="s">
        <v>45</v>
      </c>
      <c r="E851">
        <v>7</v>
      </c>
      <c r="J851">
        <f t="shared" si="13"/>
        <v>7</v>
      </c>
    </row>
    <row r="852" spans="1:10" x14ac:dyDescent="0.25">
      <c r="A852" t="s">
        <v>144</v>
      </c>
      <c r="B852" t="s">
        <v>145</v>
      </c>
      <c r="C852" t="s">
        <v>11</v>
      </c>
      <c r="D852" t="s">
        <v>12</v>
      </c>
      <c r="G852">
        <v>100</v>
      </c>
      <c r="J852">
        <f t="shared" si="13"/>
        <v>100</v>
      </c>
    </row>
    <row r="853" spans="1:10" x14ac:dyDescent="0.25">
      <c r="A853" t="s">
        <v>144</v>
      </c>
      <c r="B853" t="s">
        <v>145</v>
      </c>
      <c r="C853" t="s">
        <v>14</v>
      </c>
      <c r="D853" t="s">
        <v>15</v>
      </c>
      <c r="G853">
        <v>100</v>
      </c>
      <c r="J853">
        <f t="shared" si="13"/>
        <v>100</v>
      </c>
    </row>
    <row r="854" spans="1:10" x14ac:dyDescent="0.25">
      <c r="A854" t="s">
        <v>144</v>
      </c>
      <c r="B854" t="s">
        <v>145</v>
      </c>
      <c r="C854" t="s">
        <v>16</v>
      </c>
      <c r="D854" t="s">
        <v>17</v>
      </c>
      <c r="G854">
        <v>100</v>
      </c>
      <c r="J854">
        <f t="shared" si="13"/>
        <v>100</v>
      </c>
    </row>
    <row r="855" spans="1:10" x14ac:dyDescent="0.25">
      <c r="A855" t="s">
        <v>144</v>
      </c>
      <c r="B855" t="s">
        <v>145</v>
      </c>
      <c r="C855" t="s">
        <v>18</v>
      </c>
      <c r="D855" t="s">
        <v>19</v>
      </c>
      <c r="G855">
        <v>100</v>
      </c>
      <c r="J855">
        <f t="shared" si="13"/>
        <v>100</v>
      </c>
    </row>
    <row r="856" spans="1:10" x14ac:dyDescent="0.25">
      <c r="A856" t="s">
        <v>144</v>
      </c>
      <c r="B856" t="s">
        <v>145</v>
      </c>
      <c r="C856" t="s">
        <v>20</v>
      </c>
      <c r="D856" t="s">
        <v>21</v>
      </c>
      <c r="G856">
        <v>100</v>
      </c>
      <c r="J856">
        <f t="shared" si="13"/>
        <v>100</v>
      </c>
    </row>
    <row r="857" spans="1:10" x14ac:dyDescent="0.25">
      <c r="A857" t="s">
        <v>144</v>
      </c>
      <c r="B857" t="s">
        <v>145</v>
      </c>
      <c r="C857" t="s">
        <v>22</v>
      </c>
      <c r="D857" t="s">
        <v>23</v>
      </c>
      <c r="G857">
        <v>100</v>
      </c>
      <c r="J857">
        <f t="shared" si="13"/>
        <v>100</v>
      </c>
    </row>
    <row r="858" spans="1:10" x14ac:dyDescent="0.25">
      <c r="A858" t="s">
        <v>144</v>
      </c>
      <c r="B858" t="s">
        <v>145</v>
      </c>
      <c r="C858" t="s">
        <v>24</v>
      </c>
      <c r="D858" t="s">
        <v>25</v>
      </c>
      <c r="J858">
        <f t="shared" si="13"/>
        <v>0</v>
      </c>
    </row>
    <row r="859" spans="1:10" x14ac:dyDescent="0.25">
      <c r="A859" t="s">
        <v>144</v>
      </c>
      <c r="B859" t="s">
        <v>145</v>
      </c>
      <c r="C859" t="s">
        <v>26</v>
      </c>
      <c r="D859" t="s">
        <v>27</v>
      </c>
      <c r="J859">
        <f t="shared" si="13"/>
        <v>0</v>
      </c>
    </row>
    <row r="860" spans="1:10" x14ac:dyDescent="0.25">
      <c r="A860" t="s">
        <v>144</v>
      </c>
      <c r="B860" t="s">
        <v>145</v>
      </c>
      <c r="C860" t="s">
        <v>28</v>
      </c>
      <c r="D860" t="s">
        <v>29</v>
      </c>
      <c r="E860">
        <v>7</v>
      </c>
      <c r="J860">
        <f t="shared" si="13"/>
        <v>7</v>
      </c>
    </row>
    <row r="861" spans="1:10" x14ac:dyDescent="0.25">
      <c r="A861" t="s">
        <v>144</v>
      </c>
      <c r="B861" t="s">
        <v>145</v>
      </c>
      <c r="C861" t="s">
        <v>30</v>
      </c>
      <c r="D861" t="s">
        <v>31</v>
      </c>
      <c r="E861">
        <v>90.114189466387302</v>
      </c>
      <c r="F861">
        <v>100.316262095676</v>
      </c>
      <c r="G861">
        <v>95.821704826885906</v>
      </c>
      <c r="H861">
        <v>86.290975677555096</v>
      </c>
      <c r="I861">
        <v>81.057881230836898</v>
      </c>
      <c r="J861">
        <f t="shared" si="13"/>
        <v>100.316262095676</v>
      </c>
    </row>
    <row r="862" spans="1:10" x14ac:dyDescent="0.25">
      <c r="A862" t="s">
        <v>144</v>
      </c>
      <c r="B862" t="s">
        <v>145</v>
      </c>
      <c r="C862" t="s">
        <v>32</v>
      </c>
      <c r="D862" t="s">
        <v>33</v>
      </c>
      <c r="E862">
        <v>10</v>
      </c>
      <c r="F862">
        <v>10</v>
      </c>
      <c r="G862">
        <v>10</v>
      </c>
      <c r="H862">
        <v>10</v>
      </c>
      <c r="I862">
        <v>10</v>
      </c>
      <c r="J862">
        <f t="shared" si="13"/>
        <v>10</v>
      </c>
    </row>
    <row r="863" spans="1:10" x14ac:dyDescent="0.25">
      <c r="A863" t="s">
        <v>144</v>
      </c>
      <c r="B863" t="s">
        <v>145</v>
      </c>
      <c r="C863" t="s">
        <v>34</v>
      </c>
      <c r="D863" t="s">
        <v>35</v>
      </c>
      <c r="E863">
        <v>92.380950927734403</v>
      </c>
      <c r="F863">
        <v>94.761901855468807</v>
      </c>
      <c r="G863">
        <v>95.238098144531193</v>
      </c>
      <c r="H863">
        <v>91.509437561035199</v>
      </c>
      <c r="I863">
        <v>91.981132507324205</v>
      </c>
      <c r="J863">
        <f t="shared" si="13"/>
        <v>95.238098144531193</v>
      </c>
    </row>
    <row r="864" spans="1:10" x14ac:dyDescent="0.25">
      <c r="A864" t="s">
        <v>144</v>
      </c>
      <c r="B864" t="s">
        <v>145</v>
      </c>
      <c r="C864" t="s">
        <v>36</v>
      </c>
      <c r="D864" t="s">
        <v>37</v>
      </c>
      <c r="J864">
        <f t="shared" si="13"/>
        <v>0</v>
      </c>
    </row>
    <row r="865" spans="1:10" x14ac:dyDescent="0.25">
      <c r="A865" t="s">
        <v>144</v>
      </c>
      <c r="B865" t="s">
        <v>145</v>
      </c>
      <c r="C865" t="s">
        <v>38</v>
      </c>
      <c r="D865" t="s">
        <v>39</v>
      </c>
      <c r="J865">
        <f t="shared" si="13"/>
        <v>0</v>
      </c>
    </row>
    <row r="866" spans="1:10" x14ac:dyDescent="0.25">
      <c r="A866" t="s">
        <v>144</v>
      </c>
      <c r="B866" t="s">
        <v>145</v>
      </c>
      <c r="C866" t="s">
        <v>40</v>
      </c>
      <c r="D866" t="s">
        <v>41</v>
      </c>
      <c r="E866">
        <v>93.100226000000006</v>
      </c>
      <c r="F866">
        <v>92.769328999999999</v>
      </c>
      <c r="G866">
        <v>93.233912000000004</v>
      </c>
      <c r="H866">
        <v>92.295747000000006</v>
      </c>
      <c r="J866">
        <f t="shared" si="13"/>
        <v>93.233912000000004</v>
      </c>
    </row>
    <row r="867" spans="1:10" x14ac:dyDescent="0.25">
      <c r="A867" t="s">
        <v>144</v>
      </c>
      <c r="B867" t="s">
        <v>145</v>
      </c>
      <c r="C867" t="s">
        <v>42</v>
      </c>
      <c r="D867" t="s">
        <v>43</v>
      </c>
      <c r="J867">
        <f t="shared" si="13"/>
        <v>0</v>
      </c>
    </row>
    <row r="868" spans="1:10" x14ac:dyDescent="0.25">
      <c r="A868" t="s">
        <v>144</v>
      </c>
      <c r="B868" t="s">
        <v>145</v>
      </c>
      <c r="C868" t="s">
        <v>44</v>
      </c>
      <c r="D868" t="s">
        <v>45</v>
      </c>
      <c r="E868">
        <v>11.5</v>
      </c>
      <c r="J868">
        <f t="shared" si="13"/>
        <v>11.5</v>
      </c>
    </row>
    <row r="869" spans="1:10" x14ac:dyDescent="0.25">
      <c r="A869" t="s">
        <v>146</v>
      </c>
      <c r="B869" t="s">
        <v>147</v>
      </c>
      <c r="C869" t="s">
        <v>11</v>
      </c>
      <c r="D869" t="s">
        <v>12</v>
      </c>
      <c r="G869">
        <v>77.53</v>
      </c>
      <c r="J869">
        <f t="shared" si="13"/>
        <v>77.53</v>
      </c>
    </row>
    <row r="870" spans="1:10" x14ac:dyDescent="0.25">
      <c r="A870" t="s">
        <v>146</v>
      </c>
      <c r="B870" t="s">
        <v>147</v>
      </c>
      <c r="C870" t="s">
        <v>14</v>
      </c>
      <c r="D870" t="s">
        <v>15</v>
      </c>
      <c r="G870">
        <v>77.55</v>
      </c>
      <c r="J870">
        <f t="shared" si="13"/>
        <v>77.55</v>
      </c>
    </row>
    <row r="871" spans="1:10" x14ac:dyDescent="0.25">
      <c r="A871" t="s">
        <v>146</v>
      </c>
      <c r="B871" t="s">
        <v>147</v>
      </c>
      <c r="C871" t="s">
        <v>16</v>
      </c>
      <c r="D871" t="s">
        <v>17</v>
      </c>
      <c r="G871">
        <v>77.510000000000005</v>
      </c>
      <c r="J871">
        <f t="shared" si="13"/>
        <v>77.510000000000005</v>
      </c>
    </row>
    <row r="872" spans="1:10" x14ac:dyDescent="0.25">
      <c r="A872" t="s">
        <v>146</v>
      </c>
      <c r="B872" t="s">
        <v>147</v>
      </c>
      <c r="C872" t="s">
        <v>18</v>
      </c>
      <c r="D872" t="s">
        <v>19</v>
      </c>
      <c r="G872">
        <v>78.25</v>
      </c>
      <c r="J872">
        <f t="shared" si="13"/>
        <v>78.25</v>
      </c>
    </row>
    <row r="873" spans="1:10" x14ac:dyDescent="0.25">
      <c r="A873" t="s">
        <v>146</v>
      </c>
      <c r="B873" t="s">
        <v>147</v>
      </c>
      <c r="C873" t="s">
        <v>20</v>
      </c>
      <c r="D873" t="s">
        <v>21</v>
      </c>
      <c r="G873">
        <v>67.5</v>
      </c>
      <c r="J873">
        <f t="shared" si="13"/>
        <v>67.5</v>
      </c>
    </row>
    <row r="874" spans="1:10" x14ac:dyDescent="0.25">
      <c r="A874" t="s">
        <v>146</v>
      </c>
      <c r="B874" t="s">
        <v>147</v>
      </c>
      <c r="C874" t="s">
        <v>22</v>
      </c>
      <c r="D874" t="s">
        <v>23</v>
      </c>
      <c r="G874">
        <v>75.900000000000006</v>
      </c>
      <c r="J874">
        <f t="shared" si="13"/>
        <v>75.900000000000006</v>
      </c>
    </row>
    <row r="875" spans="1:10" x14ac:dyDescent="0.25">
      <c r="A875" t="s">
        <v>146</v>
      </c>
      <c r="B875" t="s">
        <v>147</v>
      </c>
      <c r="C875" t="s">
        <v>24</v>
      </c>
      <c r="D875" t="s">
        <v>25</v>
      </c>
      <c r="J875">
        <f t="shared" si="13"/>
        <v>0</v>
      </c>
    </row>
    <row r="876" spans="1:10" x14ac:dyDescent="0.25">
      <c r="A876" t="s">
        <v>146</v>
      </c>
      <c r="B876" t="s">
        <v>147</v>
      </c>
      <c r="C876" t="s">
        <v>26</v>
      </c>
      <c r="D876" t="s">
        <v>27</v>
      </c>
      <c r="H876">
        <v>27.2</v>
      </c>
      <c r="J876">
        <f t="shared" si="13"/>
        <v>27.2</v>
      </c>
    </row>
    <row r="877" spans="1:10" x14ac:dyDescent="0.25">
      <c r="A877" t="s">
        <v>146</v>
      </c>
      <c r="B877" t="s">
        <v>147</v>
      </c>
      <c r="C877" t="s">
        <v>28</v>
      </c>
      <c r="D877" t="s">
        <v>29</v>
      </c>
      <c r="E877">
        <v>8</v>
      </c>
      <c r="J877">
        <f t="shared" si="13"/>
        <v>8</v>
      </c>
    </row>
    <row r="878" spans="1:10" x14ac:dyDescent="0.25">
      <c r="A878" t="s">
        <v>146</v>
      </c>
      <c r="B878" t="s">
        <v>147</v>
      </c>
      <c r="C878" t="s">
        <v>30</v>
      </c>
      <c r="D878" t="s">
        <v>31</v>
      </c>
      <c r="J878">
        <f t="shared" si="13"/>
        <v>0</v>
      </c>
    </row>
    <row r="879" spans="1:10" x14ac:dyDescent="0.25">
      <c r="A879" t="s">
        <v>146</v>
      </c>
      <c r="B879" t="s">
        <v>147</v>
      </c>
      <c r="C879" t="s">
        <v>32</v>
      </c>
      <c r="D879" t="s">
        <v>33</v>
      </c>
      <c r="E879">
        <v>8</v>
      </c>
      <c r="F879">
        <v>8</v>
      </c>
      <c r="G879">
        <v>8</v>
      </c>
      <c r="H879">
        <v>8</v>
      </c>
      <c r="I879">
        <v>8</v>
      </c>
      <c r="J879">
        <f t="shared" si="13"/>
        <v>8</v>
      </c>
    </row>
    <row r="880" spans="1:10" x14ac:dyDescent="0.25">
      <c r="A880" t="s">
        <v>146</v>
      </c>
      <c r="B880" t="s">
        <v>147</v>
      </c>
      <c r="C880" t="s">
        <v>34</v>
      </c>
      <c r="D880" t="s">
        <v>35</v>
      </c>
      <c r="E880">
        <v>44.761905670166001</v>
      </c>
      <c r="F880">
        <v>44.285713195800803</v>
      </c>
      <c r="G880">
        <v>44.761905670166001</v>
      </c>
      <c r="H880">
        <v>44.811321258544901</v>
      </c>
      <c r="I880">
        <v>41.509433746337898</v>
      </c>
      <c r="J880">
        <f t="shared" si="13"/>
        <v>44.811321258544901</v>
      </c>
    </row>
    <row r="881" spans="1:10" x14ac:dyDescent="0.25">
      <c r="A881" t="s">
        <v>146</v>
      </c>
      <c r="B881" t="s">
        <v>147</v>
      </c>
      <c r="C881" t="s">
        <v>36</v>
      </c>
      <c r="D881" t="s">
        <v>37</v>
      </c>
      <c r="J881">
        <f t="shared" si="13"/>
        <v>0</v>
      </c>
    </row>
    <row r="882" spans="1:10" x14ac:dyDescent="0.25">
      <c r="A882" t="s">
        <v>146</v>
      </c>
      <c r="B882" t="s">
        <v>147</v>
      </c>
      <c r="C882" t="s">
        <v>38</v>
      </c>
      <c r="D882" t="s">
        <v>39</v>
      </c>
      <c r="J882">
        <f t="shared" si="13"/>
        <v>0</v>
      </c>
    </row>
    <row r="883" spans="1:10" x14ac:dyDescent="0.25">
      <c r="A883" t="s">
        <v>146</v>
      </c>
      <c r="B883" t="s">
        <v>147</v>
      </c>
      <c r="C883" t="s">
        <v>40</v>
      </c>
      <c r="D883" t="s">
        <v>41</v>
      </c>
      <c r="E883">
        <v>76.558341999999996</v>
      </c>
      <c r="F883">
        <v>75.792372999999998</v>
      </c>
      <c r="G883">
        <v>69.548677999999995</v>
      </c>
      <c r="H883">
        <v>78.057246000000006</v>
      </c>
      <c r="J883">
        <f t="shared" si="13"/>
        <v>78.057246000000006</v>
      </c>
    </row>
    <row r="884" spans="1:10" x14ac:dyDescent="0.25">
      <c r="A884" t="s">
        <v>146</v>
      </c>
      <c r="B884" t="s">
        <v>147</v>
      </c>
      <c r="C884" t="s">
        <v>42</v>
      </c>
      <c r="D884" t="s">
        <v>43</v>
      </c>
      <c r="J884">
        <f t="shared" si="13"/>
        <v>0</v>
      </c>
    </row>
    <row r="885" spans="1:10" x14ac:dyDescent="0.25">
      <c r="A885" t="s">
        <v>146</v>
      </c>
      <c r="B885" t="s">
        <v>147</v>
      </c>
      <c r="C885" t="s">
        <v>44</v>
      </c>
      <c r="D885" t="s">
        <v>45</v>
      </c>
      <c r="E885">
        <v>17.5</v>
      </c>
      <c r="J885">
        <f t="shared" si="13"/>
        <v>17.5</v>
      </c>
    </row>
    <row r="886" spans="1:10" x14ac:dyDescent="0.25">
      <c r="A886" t="s">
        <v>148</v>
      </c>
      <c r="B886" t="s">
        <v>149</v>
      </c>
      <c r="C886" t="s">
        <v>11</v>
      </c>
      <c r="D886" t="s">
        <v>12</v>
      </c>
      <c r="G886">
        <v>51.76</v>
      </c>
      <c r="J886">
        <f t="shared" si="13"/>
        <v>51.76</v>
      </c>
    </row>
    <row r="887" spans="1:10" x14ac:dyDescent="0.25">
      <c r="A887" t="s">
        <v>148</v>
      </c>
      <c r="B887" t="s">
        <v>149</v>
      </c>
      <c r="C887" t="s">
        <v>14</v>
      </c>
      <c r="D887" t="s">
        <v>15</v>
      </c>
      <c r="G887">
        <v>52.3</v>
      </c>
      <c r="J887">
        <f t="shared" si="13"/>
        <v>52.3</v>
      </c>
    </row>
    <row r="888" spans="1:10" x14ac:dyDescent="0.25">
      <c r="A888" t="s">
        <v>148</v>
      </c>
      <c r="B888" t="s">
        <v>149</v>
      </c>
      <c r="C888" t="s">
        <v>16</v>
      </c>
      <c r="D888" t="s">
        <v>17</v>
      </c>
      <c r="G888">
        <v>51.18</v>
      </c>
      <c r="J888">
        <f t="shared" si="13"/>
        <v>51.18</v>
      </c>
    </row>
    <row r="889" spans="1:10" x14ac:dyDescent="0.25">
      <c r="A889" t="s">
        <v>148</v>
      </c>
      <c r="B889" t="s">
        <v>149</v>
      </c>
      <c r="C889" t="s">
        <v>18</v>
      </c>
      <c r="D889" t="s">
        <v>19</v>
      </c>
      <c r="G889">
        <v>46.93</v>
      </c>
      <c r="J889">
        <f t="shared" si="13"/>
        <v>46.93</v>
      </c>
    </row>
    <row r="890" spans="1:10" x14ac:dyDescent="0.25">
      <c r="A890" t="s">
        <v>148</v>
      </c>
      <c r="B890" t="s">
        <v>149</v>
      </c>
      <c r="C890" t="s">
        <v>20</v>
      </c>
      <c r="D890" t="s">
        <v>21</v>
      </c>
      <c r="G890">
        <v>54.64</v>
      </c>
      <c r="J890">
        <f t="shared" si="13"/>
        <v>54.64</v>
      </c>
    </row>
    <row r="891" spans="1:10" x14ac:dyDescent="0.25">
      <c r="A891" t="s">
        <v>148</v>
      </c>
      <c r="B891" t="s">
        <v>149</v>
      </c>
      <c r="C891" t="s">
        <v>22</v>
      </c>
      <c r="D891" t="s">
        <v>23</v>
      </c>
      <c r="G891">
        <v>40.49</v>
      </c>
      <c r="J891">
        <f t="shared" si="13"/>
        <v>40.49</v>
      </c>
    </row>
    <row r="892" spans="1:10" x14ac:dyDescent="0.25">
      <c r="A892" t="s">
        <v>148</v>
      </c>
      <c r="B892" t="s">
        <v>149</v>
      </c>
      <c r="C892" t="s">
        <v>24</v>
      </c>
      <c r="D892" t="s">
        <v>25</v>
      </c>
      <c r="J892">
        <f t="shared" si="13"/>
        <v>0</v>
      </c>
    </row>
    <row r="893" spans="1:10" x14ac:dyDescent="0.25">
      <c r="A893" t="s">
        <v>148</v>
      </c>
      <c r="B893" t="s">
        <v>149</v>
      </c>
      <c r="C893" t="s">
        <v>26</v>
      </c>
      <c r="D893" t="s">
        <v>27</v>
      </c>
      <c r="I893">
        <v>20.3</v>
      </c>
      <c r="J893">
        <f t="shared" si="13"/>
        <v>20.3</v>
      </c>
    </row>
    <row r="894" spans="1:10" x14ac:dyDescent="0.25">
      <c r="A894" t="s">
        <v>148</v>
      </c>
      <c r="B894" t="s">
        <v>149</v>
      </c>
      <c r="C894" t="s">
        <v>28</v>
      </c>
      <c r="D894" t="s">
        <v>29</v>
      </c>
      <c r="E894">
        <v>10</v>
      </c>
      <c r="J894">
        <f t="shared" si="13"/>
        <v>10</v>
      </c>
    </row>
    <row r="895" spans="1:10" x14ac:dyDescent="0.25">
      <c r="A895" t="s">
        <v>148</v>
      </c>
      <c r="B895" t="s">
        <v>149</v>
      </c>
      <c r="C895" t="s">
        <v>30</v>
      </c>
      <c r="D895" t="s">
        <v>31</v>
      </c>
      <c r="E895">
        <v>33.729155622638103</v>
      </c>
      <c r="F895">
        <v>42.901796648612603</v>
      </c>
      <c r="G895">
        <v>44.403817071939997</v>
      </c>
      <c r="H895">
        <v>45.336556933899601</v>
      </c>
      <c r="J895">
        <f t="shared" si="13"/>
        <v>45.336556933899601</v>
      </c>
    </row>
    <row r="896" spans="1:10" x14ac:dyDescent="0.25">
      <c r="A896" t="s">
        <v>148</v>
      </c>
      <c r="B896" t="s">
        <v>149</v>
      </c>
      <c r="C896" t="s">
        <v>32</v>
      </c>
      <c r="D896" t="s">
        <v>33</v>
      </c>
      <c r="E896">
        <v>9</v>
      </c>
      <c r="F896">
        <v>9</v>
      </c>
      <c r="G896">
        <v>9</v>
      </c>
      <c r="H896">
        <v>9</v>
      </c>
      <c r="I896">
        <v>9</v>
      </c>
      <c r="J896">
        <f t="shared" si="13"/>
        <v>9</v>
      </c>
    </row>
    <row r="897" spans="1:10" x14ac:dyDescent="0.25">
      <c r="A897" t="s">
        <v>148</v>
      </c>
      <c r="B897" t="s">
        <v>149</v>
      </c>
      <c r="C897" t="s">
        <v>34</v>
      </c>
      <c r="D897" t="s">
        <v>35</v>
      </c>
      <c r="E897">
        <v>35.238094329833999</v>
      </c>
      <c r="F897">
        <v>36.666667938232401</v>
      </c>
      <c r="G897">
        <v>36.666667938232401</v>
      </c>
      <c r="H897">
        <v>37.264152526855497</v>
      </c>
      <c r="I897">
        <v>36.320755004882798</v>
      </c>
      <c r="J897">
        <f t="shared" si="13"/>
        <v>37.264152526855497</v>
      </c>
    </row>
    <row r="898" spans="1:10" x14ac:dyDescent="0.25">
      <c r="A898" t="s">
        <v>148</v>
      </c>
      <c r="B898" t="s">
        <v>149</v>
      </c>
      <c r="C898" t="s">
        <v>36</v>
      </c>
      <c r="D898" t="s">
        <v>37</v>
      </c>
      <c r="E898">
        <v>27.9760638160861</v>
      </c>
      <c r="F898">
        <v>26.6600718179868</v>
      </c>
      <c r="G898">
        <v>43.8656004035671</v>
      </c>
      <c r="J898">
        <f t="shared" si="13"/>
        <v>43.8656004035671</v>
      </c>
    </row>
    <row r="899" spans="1:10" x14ac:dyDescent="0.25">
      <c r="A899" t="s">
        <v>148</v>
      </c>
      <c r="B899" t="s">
        <v>149</v>
      </c>
      <c r="C899" t="s">
        <v>38</v>
      </c>
      <c r="D899" t="s">
        <v>39</v>
      </c>
      <c r="E899">
        <v>3.7915775874113198</v>
      </c>
      <c r="F899">
        <v>3.5357605071204099</v>
      </c>
      <c r="G899">
        <v>2.5617496841291101</v>
      </c>
      <c r="J899">
        <f t="shared" ref="J899:J962" si="14">MAX(E899:I899)</f>
        <v>3.7915775874113198</v>
      </c>
    </row>
    <row r="900" spans="1:10" x14ac:dyDescent="0.25">
      <c r="A900" t="s">
        <v>148</v>
      </c>
      <c r="B900" t="s">
        <v>149</v>
      </c>
      <c r="C900" t="s">
        <v>40</v>
      </c>
      <c r="D900" t="s">
        <v>41</v>
      </c>
      <c r="E900">
        <v>77.107534000000001</v>
      </c>
      <c r="F900">
        <v>74.566083000000006</v>
      </c>
      <c r="G900">
        <v>71.148763000000002</v>
      </c>
      <c r="H900">
        <v>78.013812000000001</v>
      </c>
      <c r="J900">
        <f t="shared" si="14"/>
        <v>78.013812000000001</v>
      </c>
    </row>
    <row r="901" spans="1:10" x14ac:dyDescent="0.25">
      <c r="A901" t="s">
        <v>148</v>
      </c>
      <c r="B901" t="s">
        <v>149</v>
      </c>
      <c r="C901" t="s">
        <v>42</v>
      </c>
      <c r="D901" t="s">
        <v>43</v>
      </c>
      <c r="J901">
        <f t="shared" si="14"/>
        <v>0</v>
      </c>
    </row>
    <row r="902" spans="1:10" x14ac:dyDescent="0.25">
      <c r="A902" t="s">
        <v>148</v>
      </c>
      <c r="B902" t="s">
        <v>149</v>
      </c>
      <c r="C902" t="s">
        <v>44</v>
      </c>
      <c r="D902" t="s">
        <v>45</v>
      </c>
      <c r="E902">
        <v>12.6</v>
      </c>
      <c r="J902">
        <f t="shared" si="14"/>
        <v>12.6</v>
      </c>
    </row>
    <row r="903" spans="1:10" x14ac:dyDescent="0.25">
      <c r="A903" t="s">
        <v>150</v>
      </c>
      <c r="B903" t="s">
        <v>151</v>
      </c>
      <c r="C903" t="s">
        <v>11</v>
      </c>
      <c r="D903" t="s">
        <v>12</v>
      </c>
      <c r="G903">
        <v>18.57</v>
      </c>
      <c r="J903">
        <f t="shared" si="14"/>
        <v>18.57</v>
      </c>
    </row>
    <row r="904" spans="1:10" x14ac:dyDescent="0.25">
      <c r="A904" t="s">
        <v>150</v>
      </c>
      <c r="B904" t="s">
        <v>151</v>
      </c>
      <c r="C904" t="s">
        <v>14</v>
      </c>
      <c r="D904" t="s">
        <v>15</v>
      </c>
      <c r="G904">
        <v>14.89</v>
      </c>
      <c r="J904">
        <f t="shared" si="14"/>
        <v>14.89</v>
      </c>
    </row>
    <row r="905" spans="1:10" x14ac:dyDescent="0.25">
      <c r="A905" t="s">
        <v>150</v>
      </c>
      <c r="B905" t="s">
        <v>151</v>
      </c>
      <c r="C905" t="s">
        <v>16</v>
      </c>
      <c r="D905" t="s">
        <v>17</v>
      </c>
      <c r="G905">
        <v>22.21</v>
      </c>
      <c r="J905">
        <f t="shared" si="14"/>
        <v>22.21</v>
      </c>
    </row>
    <row r="906" spans="1:10" x14ac:dyDescent="0.25">
      <c r="A906" t="s">
        <v>150</v>
      </c>
      <c r="B906" t="s">
        <v>151</v>
      </c>
      <c r="C906" t="s">
        <v>18</v>
      </c>
      <c r="D906" t="s">
        <v>19</v>
      </c>
      <c r="G906">
        <v>14.43</v>
      </c>
      <c r="J906">
        <f t="shared" si="14"/>
        <v>14.43</v>
      </c>
    </row>
    <row r="907" spans="1:10" x14ac:dyDescent="0.25">
      <c r="A907" t="s">
        <v>150</v>
      </c>
      <c r="B907" t="s">
        <v>151</v>
      </c>
      <c r="C907" t="s">
        <v>20</v>
      </c>
      <c r="D907" t="s">
        <v>21</v>
      </c>
      <c r="G907">
        <v>12.49</v>
      </c>
      <c r="J907">
        <f t="shared" si="14"/>
        <v>12.49</v>
      </c>
    </row>
    <row r="908" spans="1:10" x14ac:dyDescent="0.25">
      <c r="A908" t="s">
        <v>150</v>
      </c>
      <c r="B908" t="s">
        <v>151</v>
      </c>
      <c r="C908" t="s">
        <v>22</v>
      </c>
      <c r="D908" t="s">
        <v>23</v>
      </c>
      <c r="G908">
        <v>15.48</v>
      </c>
      <c r="J908">
        <f t="shared" si="14"/>
        <v>15.48</v>
      </c>
    </row>
    <row r="909" spans="1:10" x14ac:dyDescent="0.25">
      <c r="A909" t="s">
        <v>150</v>
      </c>
      <c r="B909" t="s">
        <v>151</v>
      </c>
      <c r="C909" t="s">
        <v>24</v>
      </c>
      <c r="D909" t="s">
        <v>25</v>
      </c>
      <c r="J909">
        <f t="shared" si="14"/>
        <v>0</v>
      </c>
    </row>
    <row r="910" spans="1:10" x14ac:dyDescent="0.25">
      <c r="A910" t="s">
        <v>150</v>
      </c>
      <c r="B910" t="s">
        <v>151</v>
      </c>
      <c r="C910" t="s">
        <v>26</v>
      </c>
      <c r="D910" t="s">
        <v>27</v>
      </c>
      <c r="H910">
        <v>50.5</v>
      </c>
      <c r="J910">
        <f t="shared" si="14"/>
        <v>50.5</v>
      </c>
    </row>
    <row r="911" spans="1:10" x14ac:dyDescent="0.25">
      <c r="A911" t="s">
        <v>150</v>
      </c>
      <c r="B911" t="s">
        <v>151</v>
      </c>
      <c r="C911" t="s">
        <v>28</v>
      </c>
      <c r="D911" t="s">
        <v>29</v>
      </c>
      <c r="E911">
        <v>4</v>
      </c>
      <c r="J911">
        <f t="shared" si="14"/>
        <v>4</v>
      </c>
    </row>
    <row r="912" spans="1:10" x14ac:dyDescent="0.25">
      <c r="A912" t="s">
        <v>150</v>
      </c>
      <c r="B912" t="s">
        <v>151</v>
      </c>
      <c r="C912" t="s">
        <v>30</v>
      </c>
      <c r="D912" t="s">
        <v>31</v>
      </c>
      <c r="J912">
        <f t="shared" si="14"/>
        <v>0</v>
      </c>
    </row>
    <row r="913" spans="1:10" x14ac:dyDescent="0.25">
      <c r="A913" t="s">
        <v>150</v>
      </c>
      <c r="B913" t="s">
        <v>151</v>
      </c>
      <c r="C913" t="s">
        <v>32</v>
      </c>
      <c r="D913" t="s">
        <v>33</v>
      </c>
      <c r="E913">
        <v>6</v>
      </c>
      <c r="F913">
        <v>6</v>
      </c>
      <c r="G913">
        <v>6</v>
      </c>
      <c r="H913">
        <v>6</v>
      </c>
      <c r="I913">
        <v>6</v>
      </c>
      <c r="J913">
        <f t="shared" si="14"/>
        <v>6</v>
      </c>
    </row>
    <row r="914" spans="1:10" x14ac:dyDescent="0.25">
      <c r="A914" t="s">
        <v>150</v>
      </c>
      <c r="B914" t="s">
        <v>151</v>
      </c>
      <c r="C914" t="s">
        <v>34</v>
      </c>
      <c r="D914" t="s">
        <v>35</v>
      </c>
      <c r="E914">
        <v>8.0952377319335902</v>
      </c>
      <c r="F914">
        <v>9.0476188659668004</v>
      </c>
      <c r="G914">
        <v>9.0476188659668004</v>
      </c>
      <c r="H914">
        <v>10.8490562438965</v>
      </c>
      <c r="I914">
        <v>8.4905662536621094</v>
      </c>
      <c r="J914">
        <f t="shared" si="14"/>
        <v>10.8490562438965</v>
      </c>
    </row>
    <row r="915" spans="1:10" x14ac:dyDescent="0.25">
      <c r="A915" t="s">
        <v>150</v>
      </c>
      <c r="B915" t="s">
        <v>151</v>
      </c>
      <c r="C915" t="s">
        <v>36</v>
      </c>
      <c r="D915" t="s">
        <v>37</v>
      </c>
      <c r="J915">
        <f t="shared" si="14"/>
        <v>0</v>
      </c>
    </row>
    <row r="916" spans="1:10" x14ac:dyDescent="0.25">
      <c r="A916" t="s">
        <v>150</v>
      </c>
      <c r="B916" t="s">
        <v>151</v>
      </c>
      <c r="C916" t="s">
        <v>38</v>
      </c>
      <c r="D916" t="s">
        <v>39</v>
      </c>
      <c r="J916">
        <f t="shared" si="14"/>
        <v>0</v>
      </c>
    </row>
    <row r="917" spans="1:10" x14ac:dyDescent="0.25">
      <c r="A917" t="s">
        <v>150</v>
      </c>
      <c r="B917" t="s">
        <v>151</v>
      </c>
      <c r="C917" t="s">
        <v>40</v>
      </c>
      <c r="D917" t="s">
        <v>41</v>
      </c>
      <c r="E917">
        <v>79.685644999999994</v>
      </c>
      <c r="F917">
        <v>78.505532000000002</v>
      </c>
      <c r="G917">
        <v>78.313997999999998</v>
      </c>
      <c r="H917">
        <v>81.023533999999998</v>
      </c>
      <c r="J917">
        <f t="shared" si="14"/>
        <v>81.023533999999998</v>
      </c>
    </row>
    <row r="918" spans="1:10" x14ac:dyDescent="0.25">
      <c r="A918" t="s">
        <v>150</v>
      </c>
      <c r="B918" t="s">
        <v>151</v>
      </c>
      <c r="C918" t="s">
        <v>42</v>
      </c>
      <c r="D918" t="s">
        <v>43</v>
      </c>
      <c r="J918">
        <f t="shared" si="14"/>
        <v>0</v>
      </c>
    </row>
    <row r="919" spans="1:10" x14ac:dyDescent="0.25">
      <c r="A919" t="s">
        <v>150</v>
      </c>
      <c r="B919" t="s">
        <v>151</v>
      </c>
      <c r="C919" t="s">
        <v>44</v>
      </c>
      <c r="D919" t="s">
        <v>45</v>
      </c>
      <c r="E919">
        <v>26.5</v>
      </c>
      <c r="J919">
        <f t="shared" si="14"/>
        <v>26.5</v>
      </c>
    </row>
    <row r="920" spans="1:10" x14ac:dyDescent="0.25">
      <c r="A920" t="s">
        <v>152</v>
      </c>
      <c r="B920" t="s">
        <v>153</v>
      </c>
      <c r="C920" t="s">
        <v>11</v>
      </c>
      <c r="D920" t="s">
        <v>12</v>
      </c>
      <c r="G920">
        <v>99.66</v>
      </c>
      <c r="J920">
        <f t="shared" si="14"/>
        <v>99.66</v>
      </c>
    </row>
    <row r="921" spans="1:10" x14ac:dyDescent="0.25">
      <c r="A921" t="s">
        <v>152</v>
      </c>
      <c r="B921" t="s">
        <v>153</v>
      </c>
      <c r="C921" t="s">
        <v>14</v>
      </c>
      <c r="D921" t="s">
        <v>15</v>
      </c>
      <c r="G921">
        <v>99.53</v>
      </c>
      <c r="J921">
        <f t="shared" si="14"/>
        <v>99.53</v>
      </c>
    </row>
    <row r="922" spans="1:10" x14ac:dyDescent="0.25">
      <c r="A922" t="s">
        <v>152</v>
      </c>
      <c r="B922" t="s">
        <v>153</v>
      </c>
      <c r="C922" t="s">
        <v>16</v>
      </c>
      <c r="D922" t="s">
        <v>17</v>
      </c>
      <c r="G922">
        <v>99.8</v>
      </c>
      <c r="J922">
        <f t="shared" si="14"/>
        <v>99.8</v>
      </c>
    </row>
    <row r="923" spans="1:10" x14ac:dyDescent="0.25">
      <c r="A923" t="s">
        <v>152</v>
      </c>
      <c r="B923" t="s">
        <v>153</v>
      </c>
      <c r="C923" t="s">
        <v>18</v>
      </c>
      <c r="D923" t="s">
        <v>19</v>
      </c>
      <c r="G923">
        <v>99.29</v>
      </c>
      <c r="J923">
        <f t="shared" si="14"/>
        <v>99.29</v>
      </c>
    </row>
    <row r="924" spans="1:10" x14ac:dyDescent="0.25">
      <c r="A924" t="s">
        <v>152</v>
      </c>
      <c r="B924" t="s">
        <v>153</v>
      </c>
      <c r="C924" t="s">
        <v>20</v>
      </c>
      <c r="D924" t="s">
        <v>21</v>
      </c>
      <c r="G924">
        <v>100</v>
      </c>
      <c r="J924">
        <f t="shared" si="14"/>
        <v>100</v>
      </c>
    </row>
    <row r="925" spans="1:10" x14ac:dyDescent="0.25">
      <c r="A925" t="s">
        <v>152</v>
      </c>
      <c r="B925" t="s">
        <v>153</v>
      </c>
      <c r="C925" t="s">
        <v>22</v>
      </c>
      <c r="D925" t="s">
        <v>23</v>
      </c>
      <c r="G925">
        <v>100</v>
      </c>
      <c r="J925">
        <f t="shared" si="14"/>
        <v>100</v>
      </c>
    </row>
    <row r="926" spans="1:10" x14ac:dyDescent="0.25">
      <c r="A926" t="s">
        <v>152</v>
      </c>
      <c r="B926" t="s">
        <v>153</v>
      </c>
      <c r="C926" t="s">
        <v>24</v>
      </c>
      <c r="D926" t="s">
        <v>25</v>
      </c>
      <c r="J926">
        <f t="shared" si="14"/>
        <v>0</v>
      </c>
    </row>
    <row r="927" spans="1:10" x14ac:dyDescent="0.25">
      <c r="A927" t="s">
        <v>152</v>
      </c>
      <c r="B927" t="s">
        <v>153</v>
      </c>
      <c r="C927" t="s">
        <v>26</v>
      </c>
      <c r="D927" t="s">
        <v>27</v>
      </c>
      <c r="F927">
        <v>0.4</v>
      </c>
      <c r="J927">
        <f t="shared" si="14"/>
        <v>0.4</v>
      </c>
    </row>
    <row r="928" spans="1:10" x14ac:dyDescent="0.25">
      <c r="A928" t="s">
        <v>152</v>
      </c>
      <c r="B928" t="s">
        <v>153</v>
      </c>
      <c r="C928" t="s">
        <v>28</v>
      </c>
      <c r="D928" t="s">
        <v>29</v>
      </c>
      <c r="E928">
        <v>9</v>
      </c>
      <c r="J928">
        <f t="shared" si="14"/>
        <v>9</v>
      </c>
    </row>
    <row r="929" spans="1:10" x14ac:dyDescent="0.25">
      <c r="A929" t="s">
        <v>152</v>
      </c>
      <c r="B929" t="s">
        <v>153</v>
      </c>
      <c r="C929" t="s">
        <v>30</v>
      </c>
      <c r="D929" t="s">
        <v>31</v>
      </c>
      <c r="E929">
        <v>68.210153188476895</v>
      </c>
      <c r="F929">
        <v>70.004779005324195</v>
      </c>
      <c r="G929">
        <v>62.166568548434498</v>
      </c>
      <c r="H929">
        <v>45.400258888175998</v>
      </c>
      <c r="J929">
        <f t="shared" si="14"/>
        <v>70.004779005324195</v>
      </c>
    </row>
    <row r="930" spans="1:10" x14ac:dyDescent="0.25">
      <c r="A930" t="s">
        <v>152</v>
      </c>
      <c r="B930" t="s">
        <v>153</v>
      </c>
      <c r="C930" t="s">
        <v>32</v>
      </c>
      <c r="D930" t="s">
        <v>33</v>
      </c>
      <c r="E930">
        <v>10</v>
      </c>
      <c r="F930">
        <v>10</v>
      </c>
      <c r="G930">
        <v>10</v>
      </c>
      <c r="H930">
        <v>10</v>
      </c>
      <c r="I930">
        <v>10</v>
      </c>
      <c r="J930">
        <f t="shared" si="14"/>
        <v>10</v>
      </c>
    </row>
    <row r="931" spans="1:10" x14ac:dyDescent="0.25">
      <c r="A931" t="s">
        <v>152</v>
      </c>
      <c r="B931" t="s">
        <v>153</v>
      </c>
      <c r="C931" t="s">
        <v>34</v>
      </c>
      <c r="D931" t="s">
        <v>35</v>
      </c>
      <c r="E931">
        <v>90</v>
      </c>
      <c r="F931">
        <v>91.428573608398395</v>
      </c>
      <c r="G931">
        <v>92.857139587402301</v>
      </c>
      <c r="H931">
        <v>93.867927551269503</v>
      </c>
      <c r="I931">
        <v>92.924530029296903</v>
      </c>
      <c r="J931">
        <f t="shared" si="14"/>
        <v>93.867927551269503</v>
      </c>
    </row>
    <row r="932" spans="1:10" x14ac:dyDescent="0.25">
      <c r="A932" t="s">
        <v>152</v>
      </c>
      <c r="B932" t="s">
        <v>153</v>
      </c>
      <c r="C932" t="s">
        <v>36</v>
      </c>
      <c r="D932" t="s">
        <v>37</v>
      </c>
      <c r="J932">
        <f t="shared" si="14"/>
        <v>0</v>
      </c>
    </row>
    <row r="933" spans="1:10" x14ac:dyDescent="0.25">
      <c r="A933" t="s">
        <v>152</v>
      </c>
      <c r="B933" t="s">
        <v>153</v>
      </c>
      <c r="C933" t="s">
        <v>38</v>
      </c>
      <c r="D933" t="s">
        <v>39</v>
      </c>
      <c r="J933">
        <f t="shared" si="14"/>
        <v>0</v>
      </c>
    </row>
    <row r="934" spans="1:10" x14ac:dyDescent="0.25">
      <c r="A934" t="s">
        <v>152</v>
      </c>
      <c r="B934" t="s">
        <v>153</v>
      </c>
      <c r="C934" t="s">
        <v>40</v>
      </c>
      <c r="D934" t="s">
        <v>41</v>
      </c>
      <c r="E934">
        <v>93.042660999999995</v>
      </c>
      <c r="F934">
        <v>92.956638999999996</v>
      </c>
      <c r="G934">
        <v>92.668083999999993</v>
      </c>
      <c r="H934">
        <v>92.998221999999998</v>
      </c>
      <c r="J934">
        <f t="shared" si="14"/>
        <v>93.042660999999995</v>
      </c>
    </row>
    <row r="935" spans="1:10" x14ac:dyDescent="0.25">
      <c r="A935" t="s">
        <v>152</v>
      </c>
      <c r="B935" t="s">
        <v>153</v>
      </c>
      <c r="C935" t="s">
        <v>42</v>
      </c>
      <c r="D935" t="s">
        <v>43</v>
      </c>
      <c r="J935">
        <f t="shared" si="14"/>
        <v>0</v>
      </c>
    </row>
    <row r="936" spans="1:10" x14ac:dyDescent="0.25">
      <c r="A936" t="s">
        <v>152</v>
      </c>
      <c r="B936" t="s">
        <v>153</v>
      </c>
      <c r="C936" t="s">
        <v>44</v>
      </c>
      <c r="D936" t="s">
        <v>45</v>
      </c>
      <c r="E936">
        <v>11</v>
      </c>
      <c r="J936">
        <f t="shared" si="14"/>
        <v>11</v>
      </c>
    </row>
    <row r="937" spans="1:10" x14ac:dyDescent="0.25">
      <c r="A937" t="s">
        <v>154</v>
      </c>
      <c r="B937" t="s">
        <v>155</v>
      </c>
      <c r="C937" t="s">
        <v>11</v>
      </c>
      <c r="D937" t="s">
        <v>12</v>
      </c>
      <c r="G937">
        <v>92.93</v>
      </c>
      <c r="J937">
        <f t="shared" si="14"/>
        <v>92.93</v>
      </c>
    </row>
    <row r="938" spans="1:10" x14ac:dyDescent="0.25">
      <c r="A938" t="s">
        <v>154</v>
      </c>
      <c r="B938" t="s">
        <v>155</v>
      </c>
      <c r="C938" t="s">
        <v>14</v>
      </c>
      <c r="D938" t="s">
        <v>15</v>
      </c>
      <c r="G938">
        <v>91.93</v>
      </c>
      <c r="J938">
        <f t="shared" si="14"/>
        <v>91.93</v>
      </c>
    </row>
    <row r="939" spans="1:10" x14ac:dyDescent="0.25">
      <c r="A939" t="s">
        <v>154</v>
      </c>
      <c r="B939" t="s">
        <v>155</v>
      </c>
      <c r="C939" t="s">
        <v>16</v>
      </c>
      <c r="D939" t="s">
        <v>17</v>
      </c>
      <c r="G939">
        <v>93.97</v>
      </c>
      <c r="J939">
        <f t="shared" si="14"/>
        <v>93.97</v>
      </c>
    </row>
    <row r="940" spans="1:10" x14ac:dyDescent="0.25">
      <c r="A940" t="s">
        <v>154</v>
      </c>
      <c r="B940" t="s">
        <v>155</v>
      </c>
      <c r="C940" t="s">
        <v>18</v>
      </c>
      <c r="D940" t="s">
        <v>19</v>
      </c>
      <c r="G940">
        <v>89.02</v>
      </c>
      <c r="J940">
        <f t="shared" si="14"/>
        <v>89.02</v>
      </c>
    </row>
    <row r="941" spans="1:10" x14ac:dyDescent="0.25">
      <c r="A941" t="s">
        <v>154</v>
      </c>
      <c r="B941" t="s">
        <v>155</v>
      </c>
      <c r="C941" t="s">
        <v>20</v>
      </c>
      <c r="D941" t="s">
        <v>21</v>
      </c>
      <c r="G941">
        <v>71.05</v>
      </c>
      <c r="J941">
        <f t="shared" si="14"/>
        <v>71.05</v>
      </c>
    </row>
    <row r="942" spans="1:10" x14ac:dyDescent="0.25">
      <c r="A942" t="s">
        <v>154</v>
      </c>
      <c r="B942" t="s">
        <v>155</v>
      </c>
      <c r="C942" t="s">
        <v>22</v>
      </c>
      <c r="D942" t="s">
        <v>23</v>
      </c>
      <c r="G942">
        <v>62.76</v>
      </c>
      <c r="J942">
        <f t="shared" si="14"/>
        <v>62.76</v>
      </c>
    </row>
    <row r="943" spans="1:10" x14ac:dyDescent="0.25">
      <c r="A943" t="s">
        <v>154</v>
      </c>
      <c r="B943" t="s">
        <v>155</v>
      </c>
      <c r="C943" t="s">
        <v>24</v>
      </c>
      <c r="D943" t="s">
        <v>25</v>
      </c>
      <c r="J943">
        <f t="shared" si="14"/>
        <v>0</v>
      </c>
    </row>
    <row r="944" spans="1:10" x14ac:dyDescent="0.25">
      <c r="A944" t="s">
        <v>154</v>
      </c>
      <c r="B944" t="s">
        <v>155</v>
      </c>
      <c r="C944" t="s">
        <v>26</v>
      </c>
      <c r="D944" t="s">
        <v>27</v>
      </c>
      <c r="J944">
        <f t="shared" si="14"/>
        <v>0</v>
      </c>
    </row>
    <row r="945" spans="1:10" x14ac:dyDescent="0.25">
      <c r="A945" t="s">
        <v>154</v>
      </c>
      <c r="B945" t="s">
        <v>155</v>
      </c>
      <c r="C945" t="s">
        <v>28</v>
      </c>
      <c r="D945" t="s">
        <v>29</v>
      </c>
      <c r="E945">
        <v>7</v>
      </c>
      <c r="J945">
        <f t="shared" si="14"/>
        <v>7</v>
      </c>
    </row>
    <row r="946" spans="1:10" x14ac:dyDescent="0.25">
      <c r="A946" t="s">
        <v>154</v>
      </c>
      <c r="B946" t="s">
        <v>155</v>
      </c>
      <c r="C946" t="s">
        <v>30</v>
      </c>
      <c r="D946" t="s">
        <v>31</v>
      </c>
      <c r="J946">
        <f t="shared" si="14"/>
        <v>0</v>
      </c>
    </row>
    <row r="947" spans="1:10" x14ac:dyDescent="0.25">
      <c r="A947" t="s">
        <v>154</v>
      </c>
      <c r="B947" t="s">
        <v>155</v>
      </c>
      <c r="C947" t="s">
        <v>32</v>
      </c>
      <c r="D947" t="s">
        <v>33</v>
      </c>
      <c r="E947">
        <v>15</v>
      </c>
      <c r="F947">
        <v>15</v>
      </c>
      <c r="G947">
        <v>15</v>
      </c>
      <c r="H947">
        <v>15</v>
      </c>
      <c r="I947">
        <v>15</v>
      </c>
      <c r="J947">
        <f t="shared" si="14"/>
        <v>15</v>
      </c>
    </row>
    <row r="948" spans="1:10" x14ac:dyDescent="0.25">
      <c r="A948" t="s">
        <v>154</v>
      </c>
      <c r="B948" t="s">
        <v>155</v>
      </c>
      <c r="C948" t="s">
        <v>34</v>
      </c>
      <c r="D948" t="s">
        <v>35</v>
      </c>
      <c r="E948">
        <v>78.095237731933594</v>
      </c>
      <c r="F948">
        <v>68.095237731933594</v>
      </c>
      <c r="G948">
        <v>80</v>
      </c>
      <c r="H948">
        <v>78.773582458496094</v>
      </c>
      <c r="I948">
        <v>78.773582458496094</v>
      </c>
      <c r="J948">
        <f t="shared" si="14"/>
        <v>80</v>
      </c>
    </row>
    <row r="949" spans="1:10" x14ac:dyDescent="0.25">
      <c r="A949" t="s">
        <v>154</v>
      </c>
      <c r="B949" t="s">
        <v>155</v>
      </c>
      <c r="C949" t="s">
        <v>36</v>
      </c>
      <c r="D949" t="s">
        <v>37</v>
      </c>
      <c r="J949">
        <f t="shared" si="14"/>
        <v>0</v>
      </c>
    </row>
    <row r="950" spans="1:10" x14ac:dyDescent="0.25">
      <c r="A950" t="s">
        <v>154</v>
      </c>
      <c r="B950" t="s">
        <v>155</v>
      </c>
      <c r="C950" t="s">
        <v>38</v>
      </c>
      <c r="D950" t="s">
        <v>39</v>
      </c>
      <c r="J950">
        <f t="shared" si="14"/>
        <v>0</v>
      </c>
    </row>
    <row r="951" spans="1:10" x14ac:dyDescent="0.25">
      <c r="A951" t="s">
        <v>154</v>
      </c>
      <c r="B951" t="s">
        <v>155</v>
      </c>
      <c r="C951" t="s">
        <v>40</v>
      </c>
      <c r="D951" t="s">
        <v>41</v>
      </c>
      <c r="E951">
        <v>93.639072999999996</v>
      </c>
      <c r="F951">
        <v>93.725131000000005</v>
      </c>
      <c r="G951">
        <v>93.682823999999997</v>
      </c>
      <c r="H951">
        <v>93.913788999999994</v>
      </c>
      <c r="J951">
        <f t="shared" si="14"/>
        <v>93.913788999999994</v>
      </c>
    </row>
    <row r="952" spans="1:10" x14ac:dyDescent="0.25">
      <c r="A952" t="s">
        <v>154</v>
      </c>
      <c r="B952" t="s">
        <v>155</v>
      </c>
      <c r="C952" t="s">
        <v>42</v>
      </c>
      <c r="D952" t="s">
        <v>43</v>
      </c>
      <c r="J952">
        <f t="shared" si="14"/>
        <v>0</v>
      </c>
    </row>
    <row r="953" spans="1:10" x14ac:dyDescent="0.25">
      <c r="A953" t="s">
        <v>154</v>
      </c>
      <c r="B953" t="s">
        <v>155</v>
      </c>
      <c r="C953" t="s">
        <v>44</v>
      </c>
      <c r="D953" t="s">
        <v>45</v>
      </c>
      <c r="E953">
        <v>11</v>
      </c>
      <c r="J953">
        <f t="shared" si="14"/>
        <v>11</v>
      </c>
    </row>
    <row r="954" spans="1:10" x14ac:dyDescent="0.25">
      <c r="A954" t="s">
        <v>156</v>
      </c>
      <c r="B954" t="s">
        <v>157</v>
      </c>
      <c r="C954" t="s">
        <v>11</v>
      </c>
      <c r="D954" t="s">
        <v>12</v>
      </c>
      <c r="G954">
        <v>97.29</v>
      </c>
      <c r="J954">
        <f t="shared" si="14"/>
        <v>97.29</v>
      </c>
    </row>
    <row r="955" spans="1:10" x14ac:dyDescent="0.25">
      <c r="A955" t="s">
        <v>156</v>
      </c>
      <c r="B955" t="s">
        <v>157</v>
      </c>
      <c r="C955" t="s">
        <v>14</v>
      </c>
      <c r="D955" t="s">
        <v>15</v>
      </c>
      <c r="G955">
        <v>97.09</v>
      </c>
      <c r="J955">
        <f t="shared" si="14"/>
        <v>97.09</v>
      </c>
    </row>
    <row r="956" spans="1:10" x14ac:dyDescent="0.25">
      <c r="A956" t="s">
        <v>156</v>
      </c>
      <c r="B956" t="s">
        <v>157</v>
      </c>
      <c r="C956" t="s">
        <v>16</v>
      </c>
      <c r="D956" t="s">
        <v>17</v>
      </c>
      <c r="G956">
        <v>97.48</v>
      </c>
      <c r="J956">
        <f t="shared" si="14"/>
        <v>97.48</v>
      </c>
    </row>
    <row r="957" spans="1:10" x14ac:dyDescent="0.25">
      <c r="A957" t="s">
        <v>156</v>
      </c>
      <c r="B957" t="s">
        <v>157</v>
      </c>
      <c r="C957" t="s">
        <v>18</v>
      </c>
      <c r="D957" t="s">
        <v>19</v>
      </c>
      <c r="G957">
        <v>94.79</v>
      </c>
      <c r="J957">
        <f t="shared" si="14"/>
        <v>94.79</v>
      </c>
    </row>
    <row r="958" spans="1:10" x14ac:dyDescent="0.25">
      <c r="A958" t="s">
        <v>156</v>
      </c>
      <c r="B958" t="s">
        <v>157</v>
      </c>
      <c r="C958" t="s">
        <v>20</v>
      </c>
      <c r="D958" t="s">
        <v>21</v>
      </c>
      <c r="G958">
        <v>82.77</v>
      </c>
      <c r="J958">
        <f t="shared" si="14"/>
        <v>82.77</v>
      </c>
    </row>
    <row r="959" spans="1:10" x14ac:dyDescent="0.25">
      <c r="A959" t="s">
        <v>156</v>
      </c>
      <c r="B959" t="s">
        <v>157</v>
      </c>
      <c r="C959" t="s">
        <v>22</v>
      </c>
      <c r="D959" t="s">
        <v>23</v>
      </c>
      <c r="G959">
        <v>97.25</v>
      </c>
      <c r="J959">
        <f t="shared" si="14"/>
        <v>97.25</v>
      </c>
    </row>
    <row r="960" spans="1:10" x14ac:dyDescent="0.25">
      <c r="A960" t="s">
        <v>156</v>
      </c>
      <c r="B960" t="s">
        <v>157</v>
      </c>
      <c r="C960" t="s">
        <v>24</v>
      </c>
      <c r="D960" t="s">
        <v>25</v>
      </c>
      <c r="J960">
        <f t="shared" si="14"/>
        <v>0</v>
      </c>
    </row>
    <row r="961" spans="1:10" x14ac:dyDescent="0.25">
      <c r="A961" t="s">
        <v>156</v>
      </c>
      <c r="B961" t="s">
        <v>157</v>
      </c>
      <c r="C961" t="s">
        <v>26</v>
      </c>
      <c r="D961" t="s">
        <v>27</v>
      </c>
      <c r="E961">
        <v>11.8</v>
      </c>
      <c r="J961">
        <f t="shared" si="14"/>
        <v>11.8</v>
      </c>
    </row>
    <row r="962" spans="1:10" x14ac:dyDescent="0.25">
      <c r="A962" t="s">
        <v>156</v>
      </c>
      <c r="B962" t="s">
        <v>157</v>
      </c>
      <c r="C962" t="s">
        <v>28</v>
      </c>
      <c r="D962" t="s">
        <v>29</v>
      </c>
      <c r="E962">
        <v>7</v>
      </c>
      <c r="J962">
        <f t="shared" si="14"/>
        <v>7</v>
      </c>
    </row>
    <row r="963" spans="1:10" x14ac:dyDescent="0.25">
      <c r="A963" t="s">
        <v>156</v>
      </c>
      <c r="B963" t="s">
        <v>157</v>
      </c>
      <c r="C963" t="s">
        <v>30</v>
      </c>
      <c r="D963" t="s">
        <v>31</v>
      </c>
      <c r="J963">
        <f t="shared" ref="J963:J1026" si="15">MAX(E963:I963)</f>
        <v>0</v>
      </c>
    </row>
    <row r="964" spans="1:10" x14ac:dyDescent="0.25">
      <c r="A964" t="s">
        <v>156</v>
      </c>
      <c r="B964" t="s">
        <v>157</v>
      </c>
      <c r="C964" t="s">
        <v>32</v>
      </c>
      <c r="D964" t="s">
        <v>33</v>
      </c>
      <c r="E964">
        <v>12</v>
      </c>
      <c r="F964">
        <v>12</v>
      </c>
      <c r="G964">
        <v>12</v>
      </c>
      <c r="H964">
        <v>12</v>
      </c>
      <c r="I964">
        <v>12</v>
      </c>
      <c r="J964">
        <f t="shared" si="15"/>
        <v>12</v>
      </c>
    </row>
    <row r="965" spans="1:10" x14ac:dyDescent="0.25">
      <c r="A965" t="s">
        <v>156</v>
      </c>
      <c r="B965" t="s">
        <v>157</v>
      </c>
      <c r="C965" t="s">
        <v>34</v>
      </c>
      <c r="D965" t="s">
        <v>35</v>
      </c>
      <c r="E965">
        <v>61.4285697937012</v>
      </c>
      <c r="F965">
        <v>67.142860412597699</v>
      </c>
      <c r="G965">
        <v>67.619049072265597</v>
      </c>
      <c r="H965">
        <v>68.867927551269503</v>
      </c>
      <c r="I965">
        <v>67.924530029296903</v>
      </c>
      <c r="J965">
        <f t="shared" si="15"/>
        <v>68.867927551269503</v>
      </c>
    </row>
    <row r="966" spans="1:10" x14ac:dyDescent="0.25">
      <c r="A966" t="s">
        <v>156</v>
      </c>
      <c r="B966" t="s">
        <v>157</v>
      </c>
      <c r="C966" t="s">
        <v>36</v>
      </c>
      <c r="D966" t="s">
        <v>37</v>
      </c>
      <c r="J966">
        <f t="shared" si="15"/>
        <v>0</v>
      </c>
    </row>
    <row r="967" spans="1:10" x14ac:dyDescent="0.25">
      <c r="A967" t="s">
        <v>156</v>
      </c>
      <c r="B967" t="s">
        <v>157</v>
      </c>
      <c r="C967" t="s">
        <v>38</v>
      </c>
      <c r="D967" t="s">
        <v>39</v>
      </c>
      <c r="J967">
        <f t="shared" si="15"/>
        <v>0</v>
      </c>
    </row>
    <row r="968" spans="1:10" x14ac:dyDescent="0.25">
      <c r="A968" t="s">
        <v>156</v>
      </c>
      <c r="B968" t="s">
        <v>157</v>
      </c>
      <c r="C968" t="s">
        <v>40</v>
      </c>
      <c r="D968" t="s">
        <v>41</v>
      </c>
      <c r="E968">
        <v>94.055218999999994</v>
      </c>
      <c r="F968">
        <v>93.698479000000006</v>
      </c>
      <c r="G968">
        <v>93.700334999999995</v>
      </c>
      <c r="H968">
        <v>93.195625000000007</v>
      </c>
      <c r="J968">
        <f t="shared" si="15"/>
        <v>94.055218999999994</v>
      </c>
    </row>
    <row r="969" spans="1:10" x14ac:dyDescent="0.25">
      <c r="A969" t="s">
        <v>156</v>
      </c>
      <c r="B969" t="s">
        <v>157</v>
      </c>
      <c r="C969" t="s">
        <v>42</v>
      </c>
      <c r="D969" t="s">
        <v>43</v>
      </c>
      <c r="J969">
        <f t="shared" si="15"/>
        <v>0</v>
      </c>
    </row>
    <row r="970" spans="1:10" x14ac:dyDescent="0.25">
      <c r="A970" t="s">
        <v>156</v>
      </c>
      <c r="B970" t="s">
        <v>157</v>
      </c>
      <c r="C970" t="s">
        <v>44</v>
      </c>
      <c r="D970" t="s">
        <v>45</v>
      </c>
      <c r="E970">
        <v>11</v>
      </c>
      <c r="J970">
        <f t="shared" si="15"/>
        <v>11</v>
      </c>
    </row>
    <row r="971" spans="1:10" x14ac:dyDescent="0.25">
      <c r="A971" t="s">
        <v>158</v>
      </c>
      <c r="B971" t="s">
        <v>159</v>
      </c>
      <c r="C971" t="s">
        <v>11</v>
      </c>
      <c r="D971" t="s">
        <v>12</v>
      </c>
      <c r="G971">
        <v>73.3</v>
      </c>
      <c r="J971">
        <f t="shared" si="15"/>
        <v>73.3</v>
      </c>
    </row>
    <row r="972" spans="1:10" x14ac:dyDescent="0.25">
      <c r="A972" t="s">
        <v>158</v>
      </c>
      <c r="B972" t="s">
        <v>159</v>
      </c>
      <c r="C972" t="s">
        <v>14</v>
      </c>
      <c r="D972" t="s">
        <v>15</v>
      </c>
      <c r="G972">
        <v>71.55</v>
      </c>
      <c r="J972">
        <f t="shared" si="15"/>
        <v>71.55</v>
      </c>
    </row>
    <row r="973" spans="1:10" x14ac:dyDescent="0.25">
      <c r="A973" t="s">
        <v>158</v>
      </c>
      <c r="B973" t="s">
        <v>159</v>
      </c>
      <c r="C973" t="s">
        <v>16</v>
      </c>
      <c r="D973" t="s">
        <v>17</v>
      </c>
      <c r="G973">
        <v>75.11</v>
      </c>
      <c r="J973">
        <f t="shared" si="15"/>
        <v>75.11</v>
      </c>
    </row>
    <row r="974" spans="1:10" x14ac:dyDescent="0.25">
      <c r="A974" t="s">
        <v>158</v>
      </c>
      <c r="B974" t="s">
        <v>159</v>
      </c>
      <c r="C974" t="s">
        <v>18</v>
      </c>
      <c r="D974" t="s">
        <v>19</v>
      </c>
      <c r="G974">
        <v>67.69</v>
      </c>
      <c r="J974">
        <f t="shared" si="15"/>
        <v>67.69</v>
      </c>
    </row>
    <row r="975" spans="1:10" x14ac:dyDescent="0.25">
      <c r="A975" t="s">
        <v>158</v>
      </c>
      <c r="B975" t="s">
        <v>159</v>
      </c>
      <c r="C975" t="s">
        <v>20</v>
      </c>
      <c r="D975" t="s">
        <v>21</v>
      </c>
      <c r="G975">
        <v>75.36</v>
      </c>
      <c r="J975">
        <f t="shared" si="15"/>
        <v>75.36</v>
      </c>
    </row>
    <row r="976" spans="1:10" x14ac:dyDescent="0.25">
      <c r="A976" t="s">
        <v>158</v>
      </c>
      <c r="B976" t="s">
        <v>159</v>
      </c>
      <c r="C976" t="s">
        <v>22</v>
      </c>
      <c r="D976" t="s">
        <v>23</v>
      </c>
      <c r="G976">
        <v>59.94</v>
      </c>
      <c r="J976">
        <f t="shared" si="15"/>
        <v>59.94</v>
      </c>
    </row>
    <row r="977" spans="1:10" x14ac:dyDescent="0.25">
      <c r="A977" t="s">
        <v>158</v>
      </c>
      <c r="B977" t="s">
        <v>159</v>
      </c>
      <c r="C977" t="s">
        <v>24</v>
      </c>
      <c r="D977" t="s">
        <v>25</v>
      </c>
      <c r="J977">
        <f t="shared" si="15"/>
        <v>0</v>
      </c>
    </row>
    <row r="978" spans="1:10" x14ac:dyDescent="0.25">
      <c r="A978" t="s">
        <v>158</v>
      </c>
      <c r="B978" t="s">
        <v>159</v>
      </c>
      <c r="C978" t="s">
        <v>26</v>
      </c>
      <c r="D978" t="s">
        <v>27</v>
      </c>
      <c r="J978">
        <f t="shared" si="15"/>
        <v>0</v>
      </c>
    </row>
    <row r="979" spans="1:10" x14ac:dyDescent="0.25">
      <c r="A979" t="s">
        <v>158</v>
      </c>
      <c r="B979" t="s">
        <v>159</v>
      </c>
      <c r="C979" t="s">
        <v>28</v>
      </c>
      <c r="D979" t="s">
        <v>29</v>
      </c>
      <c r="E979">
        <v>4</v>
      </c>
      <c r="J979">
        <f t="shared" si="15"/>
        <v>4</v>
      </c>
    </row>
    <row r="980" spans="1:10" x14ac:dyDescent="0.25">
      <c r="A980" t="s">
        <v>158</v>
      </c>
      <c r="B980" t="s">
        <v>159</v>
      </c>
      <c r="C980" t="s">
        <v>30</v>
      </c>
      <c r="D980" t="s">
        <v>31</v>
      </c>
      <c r="E980">
        <v>92.246448453146797</v>
      </c>
      <c r="F980">
        <v>106.282373001667</v>
      </c>
      <c r="J980">
        <f t="shared" si="15"/>
        <v>106.282373001667</v>
      </c>
    </row>
    <row r="981" spans="1:10" x14ac:dyDescent="0.25">
      <c r="A981" t="s">
        <v>158</v>
      </c>
      <c r="B981" t="s">
        <v>159</v>
      </c>
      <c r="C981" t="s">
        <v>32</v>
      </c>
      <c r="D981" t="s">
        <v>33</v>
      </c>
      <c r="E981">
        <v>6</v>
      </c>
      <c r="F981">
        <v>6</v>
      </c>
      <c r="G981">
        <v>6</v>
      </c>
      <c r="H981">
        <v>6</v>
      </c>
      <c r="I981">
        <v>6</v>
      </c>
      <c r="J981">
        <f t="shared" si="15"/>
        <v>6</v>
      </c>
    </row>
    <row r="982" spans="1:10" x14ac:dyDescent="0.25">
      <c r="A982" t="s">
        <v>158</v>
      </c>
      <c r="B982" t="s">
        <v>159</v>
      </c>
      <c r="C982" t="s">
        <v>34</v>
      </c>
      <c r="D982" t="s">
        <v>35</v>
      </c>
      <c r="E982">
        <v>51.904762268066399</v>
      </c>
      <c r="F982">
        <v>53.809524536132798</v>
      </c>
      <c r="G982">
        <v>52.380950927734403</v>
      </c>
      <c r="H982">
        <v>53.773586273193402</v>
      </c>
      <c r="I982">
        <v>50.943397521972699</v>
      </c>
      <c r="J982">
        <f t="shared" si="15"/>
        <v>53.809524536132798</v>
      </c>
    </row>
    <row r="983" spans="1:10" x14ac:dyDescent="0.25">
      <c r="A983" t="s">
        <v>158</v>
      </c>
      <c r="B983" t="s">
        <v>159</v>
      </c>
      <c r="C983" t="s">
        <v>36</v>
      </c>
      <c r="D983" t="s">
        <v>37</v>
      </c>
      <c r="J983">
        <f t="shared" si="15"/>
        <v>0</v>
      </c>
    </row>
    <row r="984" spans="1:10" x14ac:dyDescent="0.25">
      <c r="A984" t="s">
        <v>158</v>
      </c>
      <c r="B984" t="s">
        <v>159</v>
      </c>
      <c r="C984" t="s">
        <v>38</v>
      </c>
      <c r="D984" t="s">
        <v>39</v>
      </c>
      <c r="J984">
        <f t="shared" si="15"/>
        <v>0</v>
      </c>
    </row>
    <row r="985" spans="1:10" x14ac:dyDescent="0.25">
      <c r="A985" t="s">
        <v>158</v>
      </c>
      <c r="B985" t="s">
        <v>159</v>
      </c>
      <c r="C985" t="s">
        <v>40</v>
      </c>
      <c r="D985" t="s">
        <v>41</v>
      </c>
      <c r="E985">
        <v>79.896803000000006</v>
      </c>
      <c r="F985">
        <v>79.916115000000005</v>
      </c>
      <c r="G985">
        <v>75.038287999999994</v>
      </c>
      <c r="H985">
        <v>79.884598999999994</v>
      </c>
      <c r="J985">
        <f t="shared" si="15"/>
        <v>79.916115000000005</v>
      </c>
    </row>
    <row r="986" spans="1:10" x14ac:dyDescent="0.25">
      <c r="A986" t="s">
        <v>158</v>
      </c>
      <c r="B986" t="s">
        <v>159</v>
      </c>
      <c r="C986" t="s">
        <v>42</v>
      </c>
      <c r="D986" t="s">
        <v>43</v>
      </c>
      <c r="J986">
        <f t="shared" si="15"/>
        <v>0</v>
      </c>
    </row>
    <row r="987" spans="1:10" x14ac:dyDescent="0.25">
      <c r="A987" t="s">
        <v>158</v>
      </c>
      <c r="B987" t="s">
        <v>159</v>
      </c>
      <c r="C987" t="s">
        <v>44</v>
      </c>
      <c r="D987" t="s">
        <v>45</v>
      </c>
      <c r="E987">
        <v>3</v>
      </c>
      <c r="J987">
        <f t="shared" si="15"/>
        <v>3</v>
      </c>
    </row>
    <row r="988" spans="1:10" x14ac:dyDescent="0.25">
      <c r="A988" t="s">
        <v>160</v>
      </c>
      <c r="B988" t="s">
        <v>161</v>
      </c>
      <c r="C988" t="s">
        <v>11</v>
      </c>
      <c r="D988" t="s">
        <v>12</v>
      </c>
      <c r="G988">
        <v>98.49</v>
      </c>
      <c r="J988">
        <f t="shared" si="15"/>
        <v>98.49</v>
      </c>
    </row>
    <row r="989" spans="1:10" x14ac:dyDescent="0.25">
      <c r="A989" t="s">
        <v>160</v>
      </c>
      <c r="B989" t="s">
        <v>161</v>
      </c>
      <c r="C989" t="s">
        <v>14</v>
      </c>
      <c r="D989" t="s">
        <v>15</v>
      </c>
      <c r="G989">
        <v>98.84</v>
      </c>
      <c r="J989">
        <f t="shared" si="15"/>
        <v>98.84</v>
      </c>
    </row>
    <row r="990" spans="1:10" x14ac:dyDescent="0.25">
      <c r="A990" t="s">
        <v>160</v>
      </c>
      <c r="B990" t="s">
        <v>161</v>
      </c>
      <c r="C990" t="s">
        <v>16</v>
      </c>
      <c r="D990" t="s">
        <v>17</v>
      </c>
      <c r="G990">
        <v>98.12</v>
      </c>
      <c r="J990">
        <f t="shared" si="15"/>
        <v>98.12</v>
      </c>
    </row>
    <row r="991" spans="1:10" x14ac:dyDescent="0.25">
      <c r="A991" t="s">
        <v>160</v>
      </c>
      <c r="B991" t="s">
        <v>161</v>
      </c>
      <c r="C991" t="s">
        <v>18</v>
      </c>
      <c r="D991" t="s">
        <v>19</v>
      </c>
      <c r="G991">
        <v>98.47</v>
      </c>
      <c r="J991">
        <f t="shared" si="15"/>
        <v>98.47</v>
      </c>
    </row>
    <row r="992" spans="1:10" x14ac:dyDescent="0.25">
      <c r="A992" t="s">
        <v>160</v>
      </c>
      <c r="B992" t="s">
        <v>161</v>
      </c>
      <c r="C992" t="s">
        <v>20</v>
      </c>
      <c r="D992" t="s">
        <v>21</v>
      </c>
      <c r="G992">
        <v>90.23</v>
      </c>
      <c r="J992">
        <f t="shared" si="15"/>
        <v>90.23</v>
      </c>
    </row>
    <row r="993" spans="1:10" x14ac:dyDescent="0.25">
      <c r="A993" t="s">
        <v>160</v>
      </c>
      <c r="B993" t="s">
        <v>161</v>
      </c>
      <c r="C993" t="s">
        <v>22</v>
      </c>
      <c r="D993" t="s">
        <v>23</v>
      </c>
      <c r="G993">
        <v>94.1</v>
      </c>
      <c r="J993">
        <f t="shared" si="15"/>
        <v>94.1</v>
      </c>
    </row>
    <row r="994" spans="1:10" x14ac:dyDescent="0.25">
      <c r="A994" t="s">
        <v>160</v>
      </c>
      <c r="B994" t="s">
        <v>161</v>
      </c>
      <c r="C994" t="s">
        <v>24</v>
      </c>
      <c r="D994" t="s">
        <v>25</v>
      </c>
      <c r="J994">
        <f t="shared" si="15"/>
        <v>0</v>
      </c>
    </row>
    <row r="995" spans="1:10" x14ac:dyDescent="0.25">
      <c r="A995" t="s">
        <v>160</v>
      </c>
      <c r="B995" t="s">
        <v>161</v>
      </c>
      <c r="C995" t="s">
        <v>26</v>
      </c>
      <c r="D995" t="s">
        <v>27</v>
      </c>
      <c r="J995">
        <f t="shared" si="15"/>
        <v>0</v>
      </c>
    </row>
    <row r="996" spans="1:10" x14ac:dyDescent="0.25">
      <c r="A996" t="s">
        <v>160</v>
      </c>
      <c r="B996" t="s">
        <v>161</v>
      </c>
      <c r="C996" t="s">
        <v>28</v>
      </c>
      <c r="D996" t="s">
        <v>29</v>
      </c>
      <c r="E996">
        <v>7</v>
      </c>
      <c r="J996">
        <f t="shared" si="15"/>
        <v>7</v>
      </c>
    </row>
    <row r="997" spans="1:10" x14ac:dyDescent="0.25">
      <c r="A997" t="s">
        <v>160</v>
      </c>
      <c r="B997" t="s">
        <v>161</v>
      </c>
      <c r="C997" t="s">
        <v>30</v>
      </c>
      <c r="D997" t="s">
        <v>31</v>
      </c>
      <c r="E997">
        <v>198.01030917487199</v>
      </c>
      <c r="F997">
        <v>215.75554057904299</v>
      </c>
      <c r="G997">
        <v>216.32936485674099</v>
      </c>
      <c r="H997">
        <v>216.21337545990301</v>
      </c>
      <c r="J997">
        <f t="shared" si="15"/>
        <v>216.32936485674099</v>
      </c>
    </row>
    <row r="998" spans="1:10" x14ac:dyDescent="0.25">
      <c r="A998" t="s">
        <v>160</v>
      </c>
      <c r="B998" t="s">
        <v>161</v>
      </c>
      <c r="C998" t="s">
        <v>32</v>
      </c>
      <c r="D998" t="s">
        <v>33</v>
      </c>
      <c r="E998">
        <v>9</v>
      </c>
      <c r="F998">
        <v>9</v>
      </c>
      <c r="G998">
        <v>9</v>
      </c>
      <c r="H998">
        <v>9</v>
      </c>
      <c r="I998">
        <v>9</v>
      </c>
      <c r="J998">
        <f t="shared" si="15"/>
        <v>9</v>
      </c>
    </row>
    <row r="999" spans="1:10" x14ac:dyDescent="0.25">
      <c r="A999" t="s">
        <v>160</v>
      </c>
      <c r="B999" t="s">
        <v>161</v>
      </c>
      <c r="C999" t="s">
        <v>34</v>
      </c>
      <c r="D999" t="s">
        <v>35</v>
      </c>
      <c r="E999">
        <v>89.047622680664105</v>
      </c>
      <c r="F999">
        <v>90.476188659667997</v>
      </c>
      <c r="G999">
        <v>90.952377319335895</v>
      </c>
      <c r="H999">
        <v>90.5660400390625</v>
      </c>
      <c r="I999">
        <v>90.094337463378906</v>
      </c>
      <c r="J999">
        <f t="shared" si="15"/>
        <v>90.952377319335895</v>
      </c>
    </row>
    <row r="1000" spans="1:10" x14ac:dyDescent="0.25">
      <c r="A1000" t="s">
        <v>160</v>
      </c>
      <c r="B1000" t="s">
        <v>161</v>
      </c>
      <c r="C1000" t="s">
        <v>36</v>
      </c>
      <c r="D1000" t="s">
        <v>37</v>
      </c>
      <c r="J1000">
        <f t="shared" si="15"/>
        <v>0</v>
      </c>
    </row>
    <row r="1001" spans="1:10" x14ac:dyDescent="0.25">
      <c r="A1001" t="s">
        <v>160</v>
      </c>
      <c r="B1001" t="s">
        <v>161</v>
      </c>
      <c r="C1001" t="s">
        <v>38</v>
      </c>
      <c r="D1001" t="s">
        <v>39</v>
      </c>
      <c r="J1001">
        <f t="shared" si="15"/>
        <v>0</v>
      </c>
    </row>
    <row r="1002" spans="1:10" x14ac:dyDescent="0.25">
      <c r="A1002" t="s">
        <v>160</v>
      </c>
      <c r="B1002" t="s">
        <v>161</v>
      </c>
      <c r="C1002" t="s">
        <v>40</v>
      </c>
      <c r="D1002" t="s">
        <v>41</v>
      </c>
      <c r="E1002">
        <v>94.508640999999997</v>
      </c>
      <c r="F1002">
        <v>94.569141000000002</v>
      </c>
      <c r="G1002">
        <v>94.567238000000003</v>
      </c>
      <c r="H1002">
        <v>94.356001000000006</v>
      </c>
      <c r="J1002">
        <f t="shared" si="15"/>
        <v>94.569141000000002</v>
      </c>
    </row>
    <row r="1003" spans="1:10" x14ac:dyDescent="0.25">
      <c r="A1003" t="s">
        <v>160</v>
      </c>
      <c r="B1003" t="s">
        <v>161</v>
      </c>
      <c r="C1003" t="s">
        <v>42</v>
      </c>
      <c r="D1003" t="s">
        <v>43</v>
      </c>
      <c r="J1003">
        <f t="shared" si="15"/>
        <v>0</v>
      </c>
    </row>
    <row r="1004" spans="1:10" x14ac:dyDescent="0.25">
      <c r="A1004" t="s">
        <v>160</v>
      </c>
      <c r="B1004" t="s">
        <v>161</v>
      </c>
      <c r="C1004" t="s">
        <v>44</v>
      </c>
      <c r="D1004" t="s">
        <v>45</v>
      </c>
      <c r="E1004">
        <v>11.2</v>
      </c>
      <c r="J1004">
        <f t="shared" si="15"/>
        <v>11.2</v>
      </c>
    </row>
    <row r="1005" spans="1:10" x14ac:dyDescent="0.25">
      <c r="A1005" t="s">
        <v>162</v>
      </c>
      <c r="B1005" t="s">
        <v>163</v>
      </c>
      <c r="C1005" t="s">
        <v>11</v>
      </c>
      <c r="D1005" t="s">
        <v>12</v>
      </c>
      <c r="G1005">
        <v>47.12</v>
      </c>
      <c r="J1005">
        <f t="shared" si="15"/>
        <v>47.12</v>
      </c>
    </row>
    <row r="1006" spans="1:10" x14ac:dyDescent="0.25">
      <c r="A1006" t="s">
        <v>162</v>
      </c>
      <c r="B1006" t="s">
        <v>163</v>
      </c>
      <c r="C1006" t="s">
        <v>14</v>
      </c>
      <c r="D1006" t="s">
        <v>15</v>
      </c>
      <c r="G1006">
        <v>34.06</v>
      </c>
      <c r="J1006">
        <f t="shared" si="15"/>
        <v>34.06</v>
      </c>
    </row>
    <row r="1007" spans="1:10" x14ac:dyDescent="0.25">
      <c r="A1007" t="s">
        <v>162</v>
      </c>
      <c r="B1007" t="s">
        <v>163</v>
      </c>
      <c r="C1007" t="s">
        <v>16</v>
      </c>
      <c r="D1007" t="s">
        <v>17</v>
      </c>
      <c r="G1007">
        <v>58.6</v>
      </c>
      <c r="J1007">
        <f t="shared" si="15"/>
        <v>58.6</v>
      </c>
    </row>
    <row r="1008" spans="1:10" x14ac:dyDescent="0.25">
      <c r="A1008" t="s">
        <v>162</v>
      </c>
      <c r="B1008" t="s">
        <v>163</v>
      </c>
      <c r="C1008" t="s">
        <v>18</v>
      </c>
      <c r="D1008" t="s">
        <v>19</v>
      </c>
      <c r="G1008">
        <v>37.01</v>
      </c>
      <c r="J1008">
        <f t="shared" si="15"/>
        <v>37.01</v>
      </c>
    </row>
    <row r="1009" spans="1:10" x14ac:dyDescent="0.25">
      <c r="A1009" t="s">
        <v>162</v>
      </c>
      <c r="B1009" t="s">
        <v>163</v>
      </c>
      <c r="C1009" t="s">
        <v>20</v>
      </c>
      <c r="D1009" t="s">
        <v>21</v>
      </c>
      <c r="G1009">
        <v>28.69</v>
      </c>
      <c r="J1009">
        <f t="shared" si="15"/>
        <v>28.69</v>
      </c>
    </row>
    <row r="1010" spans="1:10" x14ac:dyDescent="0.25">
      <c r="A1010" t="s">
        <v>162</v>
      </c>
      <c r="B1010" t="s">
        <v>163</v>
      </c>
      <c r="C1010" t="s">
        <v>22</v>
      </c>
      <c r="D1010" t="s">
        <v>23</v>
      </c>
      <c r="G1010">
        <v>38.71</v>
      </c>
      <c r="J1010">
        <f t="shared" si="15"/>
        <v>38.71</v>
      </c>
    </row>
    <row r="1011" spans="1:10" x14ac:dyDescent="0.25">
      <c r="A1011" t="s">
        <v>162</v>
      </c>
      <c r="B1011" t="s">
        <v>163</v>
      </c>
      <c r="C1011" t="s">
        <v>24</v>
      </c>
      <c r="D1011" t="s">
        <v>25</v>
      </c>
      <c r="J1011">
        <f t="shared" si="15"/>
        <v>0</v>
      </c>
    </row>
    <row r="1012" spans="1:10" x14ac:dyDescent="0.25">
      <c r="A1012" t="s">
        <v>162</v>
      </c>
      <c r="B1012" t="s">
        <v>163</v>
      </c>
      <c r="C1012" t="s">
        <v>26</v>
      </c>
      <c r="D1012" t="s">
        <v>27</v>
      </c>
      <c r="E1012">
        <v>2.5</v>
      </c>
      <c r="J1012">
        <f t="shared" si="15"/>
        <v>2.5</v>
      </c>
    </row>
    <row r="1013" spans="1:10" x14ac:dyDescent="0.25">
      <c r="A1013" t="s">
        <v>162</v>
      </c>
      <c r="B1013" t="s">
        <v>163</v>
      </c>
      <c r="C1013" t="s">
        <v>28</v>
      </c>
      <c r="D1013" t="s">
        <v>29</v>
      </c>
      <c r="E1013">
        <v>4</v>
      </c>
      <c r="J1013">
        <f t="shared" si="15"/>
        <v>4</v>
      </c>
    </row>
    <row r="1014" spans="1:10" x14ac:dyDescent="0.25">
      <c r="A1014" t="s">
        <v>162</v>
      </c>
      <c r="B1014" t="s">
        <v>163</v>
      </c>
      <c r="C1014" t="s">
        <v>30</v>
      </c>
      <c r="D1014" t="s">
        <v>31</v>
      </c>
      <c r="E1014">
        <v>79.344853249271694</v>
      </c>
      <c r="F1014">
        <v>75.966072685990596</v>
      </c>
      <c r="H1014">
        <v>100.908283146258</v>
      </c>
      <c r="J1014">
        <f t="shared" si="15"/>
        <v>100.908283146258</v>
      </c>
    </row>
    <row r="1015" spans="1:10" x14ac:dyDescent="0.25">
      <c r="A1015" t="s">
        <v>162</v>
      </c>
      <c r="B1015" t="s">
        <v>163</v>
      </c>
      <c r="C1015" t="s">
        <v>32</v>
      </c>
      <c r="D1015" t="s">
        <v>33</v>
      </c>
      <c r="E1015">
        <v>10</v>
      </c>
      <c r="F1015">
        <v>10</v>
      </c>
      <c r="G1015">
        <v>10</v>
      </c>
      <c r="H1015">
        <v>10</v>
      </c>
      <c r="I1015">
        <v>10</v>
      </c>
      <c r="J1015">
        <f t="shared" si="15"/>
        <v>10</v>
      </c>
    </row>
    <row r="1016" spans="1:10" x14ac:dyDescent="0.25">
      <c r="A1016" t="s">
        <v>162</v>
      </c>
      <c r="B1016" t="s">
        <v>163</v>
      </c>
      <c r="C1016" t="s">
        <v>34</v>
      </c>
      <c r="D1016" t="s">
        <v>35</v>
      </c>
      <c r="E1016">
        <v>58.5714302062988</v>
      </c>
      <c r="F1016">
        <v>57.619049072265597</v>
      </c>
      <c r="G1016">
        <v>55.714286804199197</v>
      </c>
      <c r="H1016">
        <v>58.018867492675803</v>
      </c>
      <c r="I1016">
        <v>57.547168731689503</v>
      </c>
      <c r="J1016">
        <f t="shared" si="15"/>
        <v>58.5714302062988</v>
      </c>
    </row>
    <row r="1017" spans="1:10" x14ac:dyDescent="0.25">
      <c r="A1017" t="s">
        <v>162</v>
      </c>
      <c r="B1017" t="s">
        <v>163</v>
      </c>
      <c r="C1017" t="s">
        <v>36</v>
      </c>
      <c r="D1017" t="s">
        <v>37</v>
      </c>
      <c r="J1017">
        <f t="shared" si="15"/>
        <v>0</v>
      </c>
    </row>
    <row r="1018" spans="1:10" x14ac:dyDescent="0.25">
      <c r="A1018" t="s">
        <v>162</v>
      </c>
      <c r="B1018" t="s">
        <v>163</v>
      </c>
      <c r="C1018" t="s">
        <v>38</v>
      </c>
      <c r="D1018" t="s">
        <v>39</v>
      </c>
      <c r="J1018">
        <f t="shared" si="15"/>
        <v>0</v>
      </c>
    </row>
    <row r="1019" spans="1:10" x14ac:dyDescent="0.25">
      <c r="A1019" t="s">
        <v>162</v>
      </c>
      <c r="B1019" t="s">
        <v>163</v>
      </c>
      <c r="C1019" t="s">
        <v>40</v>
      </c>
      <c r="D1019" t="s">
        <v>41</v>
      </c>
      <c r="E1019">
        <v>88.895972999999998</v>
      </c>
      <c r="F1019">
        <v>87.798693999999998</v>
      </c>
      <c r="G1019">
        <v>85.464945999999998</v>
      </c>
      <c r="H1019">
        <v>89.132171999999997</v>
      </c>
      <c r="J1019">
        <f t="shared" si="15"/>
        <v>89.132171999999997</v>
      </c>
    </row>
    <row r="1020" spans="1:10" x14ac:dyDescent="0.25">
      <c r="A1020" t="s">
        <v>162</v>
      </c>
      <c r="B1020" t="s">
        <v>163</v>
      </c>
      <c r="C1020" t="s">
        <v>42</v>
      </c>
      <c r="D1020" t="s">
        <v>43</v>
      </c>
      <c r="J1020">
        <f t="shared" si="15"/>
        <v>0</v>
      </c>
    </row>
    <row r="1021" spans="1:10" x14ac:dyDescent="0.25">
      <c r="A1021" t="s">
        <v>162</v>
      </c>
      <c r="B1021" t="s">
        <v>163</v>
      </c>
      <c r="C1021" t="s">
        <v>44</v>
      </c>
      <c r="D1021" t="s">
        <v>45</v>
      </c>
      <c r="E1021">
        <v>12.5</v>
      </c>
      <c r="J1021">
        <f t="shared" si="15"/>
        <v>12.5</v>
      </c>
    </row>
    <row r="1022" spans="1:10" x14ac:dyDescent="0.25">
      <c r="A1022" t="s">
        <v>164</v>
      </c>
      <c r="B1022" t="s">
        <v>165</v>
      </c>
      <c r="C1022" t="s">
        <v>11</v>
      </c>
      <c r="D1022" t="s">
        <v>12</v>
      </c>
      <c r="G1022">
        <v>81.11</v>
      </c>
      <c r="J1022">
        <f t="shared" si="15"/>
        <v>81.11</v>
      </c>
    </row>
    <row r="1023" spans="1:10" x14ac:dyDescent="0.25">
      <c r="A1023" t="s">
        <v>164</v>
      </c>
      <c r="B1023" t="s">
        <v>165</v>
      </c>
      <c r="C1023" t="s">
        <v>14</v>
      </c>
      <c r="D1023" t="s">
        <v>15</v>
      </c>
      <c r="G1023">
        <v>83.63</v>
      </c>
      <c r="J1023">
        <f t="shared" si="15"/>
        <v>83.63</v>
      </c>
    </row>
    <row r="1024" spans="1:10" x14ac:dyDescent="0.25">
      <c r="A1024" t="s">
        <v>164</v>
      </c>
      <c r="B1024" t="s">
        <v>165</v>
      </c>
      <c r="C1024" t="s">
        <v>16</v>
      </c>
      <c r="D1024" t="s">
        <v>17</v>
      </c>
      <c r="G1024">
        <v>78.290000000000006</v>
      </c>
      <c r="J1024">
        <f t="shared" si="15"/>
        <v>78.290000000000006</v>
      </c>
    </row>
    <row r="1025" spans="1:10" x14ac:dyDescent="0.25">
      <c r="A1025" t="s">
        <v>164</v>
      </c>
      <c r="B1025" t="s">
        <v>165</v>
      </c>
      <c r="C1025" t="s">
        <v>18</v>
      </c>
      <c r="D1025" t="s">
        <v>19</v>
      </c>
      <c r="G1025">
        <v>82.08</v>
      </c>
      <c r="J1025">
        <f t="shared" si="15"/>
        <v>82.08</v>
      </c>
    </row>
    <row r="1026" spans="1:10" x14ac:dyDescent="0.25">
      <c r="A1026" t="s">
        <v>164</v>
      </c>
      <c r="B1026" t="s">
        <v>165</v>
      </c>
      <c r="C1026" t="s">
        <v>20</v>
      </c>
      <c r="D1026" t="s">
        <v>21</v>
      </c>
      <c r="G1026">
        <v>73.55</v>
      </c>
      <c r="J1026">
        <f t="shared" si="15"/>
        <v>73.55</v>
      </c>
    </row>
    <row r="1027" spans="1:10" x14ac:dyDescent="0.25">
      <c r="A1027" t="s">
        <v>164</v>
      </c>
      <c r="B1027" t="s">
        <v>165</v>
      </c>
      <c r="C1027" t="s">
        <v>22</v>
      </c>
      <c r="D1027" t="s">
        <v>23</v>
      </c>
      <c r="G1027">
        <v>61.88</v>
      </c>
      <c r="J1027">
        <f t="shared" ref="J1027:J1090" si="16">MAX(E1027:I1027)</f>
        <v>61.88</v>
      </c>
    </row>
    <row r="1028" spans="1:10" x14ac:dyDescent="0.25">
      <c r="A1028" t="s">
        <v>164</v>
      </c>
      <c r="B1028" t="s">
        <v>165</v>
      </c>
      <c r="C1028" t="s">
        <v>24</v>
      </c>
      <c r="D1028" t="s">
        <v>25</v>
      </c>
      <c r="J1028">
        <f t="shared" si="16"/>
        <v>0</v>
      </c>
    </row>
    <row r="1029" spans="1:10" x14ac:dyDescent="0.25">
      <c r="A1029" t="s">
        <v>164</v>
      </c>
      <c r="B1029" t="s">
        <v>165</v>
      </c>
      <c r="C1029" t="s">
        <v>26</v>
      </c>
      <c r="D1029" t="s">
        <v>27</v>
      </c>
      <c r="E1029">
        <v>11.6</v>
      </c>
      <c r="J1029">
        <f t="shared" si="16"/>
        <v>11.6</v>
      </c>
    </row>
    <row r="1030" spans="1:10" x14ac:dyDescent="0.25">
      <c r="A1030" t="s">
        <v>164</v>
      </c>
      <c r="B1030" t="s">
        <v>165</v>
      </c>
      <c r="C1030" t="s">
        <v>28</v>
      </c>
      <c r="D1030" t="s">
        <v>29</v>
      </c>
      <c r="E1030">
        <v>9</v>
      </c>
      <c r="J1030">
        <f t="shared" si="16"/>
        <v>9</v>
      </c>
    </row>
    <row r="1031" spans="1:10" x14ac:dyDescent="0.25">
      <c r="A1031" t="s">
        <v>164</v>
      </c>
      <c r="B1031" t="s">
        <v>165</v>
      </c>
      <c r="C1031" t="s">
        <v>30</v>
      </c>
      <c r="D1031" t="s">
        <v>31</v>
      </c>
      <c r="E1031">
        <v>18.483046947751902</v>
      </c>
      <c r="F1031">
        <v>23.715760502438101</v>
      </c>
      <c r="G1031">
        <v>22.4120405815457</v>
      </c>
      <c r="H1031">
        <v>21.354783010181102</v>
      </c>
      <c r="I1031">
        <v>20.822089567308801</v>
      </c>
      <c r="J1031">
        <f t="shared" si="16"/>
        <v>23.715760502438101</v>
      </c>
    </row>
    <row r="1032" spans="1:10" x14ac:dyDescent="0.25">
      <c r="A1032" t="s">
        <v>164</v>
      </c>
      <c r="B1032" t="s">
        <v>165</v>
      </c>
      <c r="C1032" t="s">
        <v>32</v>
      </c>
      <c r="D1032" t="s">
        <v>33</v>
      </c>
      <c r="E1032">
        <v>9</v>
      </c>
      <c r="F1032">
        <v>9</v>
      </c>
      <c r="G1032">
        <v>9</v>
      </c>
      <c r="H1032">
        <v>9</v>
      </c>
      <c r="I1032">
        <v>9</v>
      </c>
      <c r="J1032">
        <f t="shared" si="16"/>
        <v>9</v>
      </c>
    </row>
    <row r="1033" spans="1:10" x14ac:dyDescent="0.25">
      <c r="A1033" t="s">
        <v>164</v>
      </c>
      <c r="B1033" t="s">
        <v>165</v>
      </c>
      <c r="C1033" t="s">
        <v>34</v>
      </c>
      <c r="D1033" t="s">
        <v>35</v>
      </c>
      <c r="E1033">
        <v>45.238094329833999</v>
      </c>
      <c r="F1033">
        <v>40.952381134033203</v>
      </c>
      <c r="G1033">
        <v>47.142856597900398</v>
      </c>
      <c r="H1033">
        <v>48.584907531738303</v>
      </c>
      <c r="I1033">
        <v>47.169811248779297</v>
      </c>
      <c r="J1033">
        <f t="shared" si="16"/>
        <v>48.584907531738303</v>
      </c>
    </row>
    <row r="1034" spans="1:10" x14ac:dyDescent="0.25">
      <c r="A1034" t="s">
        <v>164</v>
      </c>
      <c r="B1034" t="s">
        <v>165</v>
      </c>
      <c r="C1034" t="s">
        <v>36</v>
      </c>
      <c r="D1034" t="s">
        <v>37</v>
      </c>
      <c r="J1034">
        <f t="shared" si="16"/>
        <v>0</v>
      </c>
    </row>
    <row r="1035" spans="1:10" x14ac:dyDescent="0.25">
      <c r="A1035" t="s">
        <v>164</v>
      </c>
      <c r="B1035" t="s">
        <v>165</v>
      </c>
      <c r="C1035" t="s">
        <v>38</v>
      </c>
      <c r="D1035" t="s">
        <v>39</v>
      </c>
      <c r="J1035">
        <f t="shared" si="16"/>
        <v>0</v>
      </c>
    </row>
    <row r="1036" spans="1:10" x14ac:dyDescent="0.25">
      <c r="A1036" t="s">
        <v>164</v>
      </c>
      <c r="B1036" t="s">
        <v>165</v>
      </c>
      <c r="C1036" t="s">
        <v>40</v>
      </c>
      <c r="D1036" t="s">
        <v>41</v>
      </c>
      <c r="E1036">
        <v>85.488133000000005</v>
      </c>
      <c r="F1036">
        <v>82.171903999999998</v>
      </c>
      <c r="G1036">
        <v>81.146236999999999</v>
      </c>
      <c r="H1036">
        <v>84.872951999999998</v>
      </c>
      <c r="J1036">
        <f t="shared" si="16"/>
        <v>85.488133000000005</v>
      </c>
    </row>
    <row r="1037" spans="1:10" x14ac:dyDescent="0.25">
      <c r="A1037" t="s">
        <v>164</v>
      </c>
      <c r="B1037" t="s">
        <v>165</v>
      </c>
      <c r="C1037" t="s">
        <v>42</v>
      </c>
      <c r="D1037" t="s">
        <v>43</v>
      </c>
      <c r="J1037">
        <f t="shared" si="16"/>
        <v>0</v>
      </c>
    </row>
    <row r="1038" spans="1:10" x14ac:dyDescent="0.25">
      <c r="A1038" t="s">
        <v>164</v>
      </c>
      <c r="B1038" t="s">
        <v>165</v>
      </c>
      <c r="C1038" t="s">
        <v>44</v>
      </c>
      <c r="D1038" t="s">
        <v>45</v>
      </c>
      <c r="E1038">
        <v>5</v>
      </c>
      <c r="J1038">
        <f t="shared" si="16"/>
        <v>5</v>
      </c>
    </row>
    <row r="1039" spans="1:10" x14ac:dyDescent="0.25">
      <c r="A1039" t="s">
        <v>166</v>
      </c>
      <c r="B1039" t="s">
        <v>167</v>
      </c>
      <c r="C1039" t="s">
        <v>11</v>
      </c>
      <c r="D1039" t="s">
        <v>12</v>
      </c>
      <c r="G1039">
        <v>79.2</v>
      </c>
      <c r="J1039">
        <f t="shared" si="16"/>
        <v>79.2</v>
      </c>
    </row>
    <row r="1040" spans="1:10" x14ac:dyDescent="0.25">
      <c r="A1040" t="s">
        <v>166</v>
      </c>
      <c r="B1040" t="s">
        <v>167</v>
      </c>
      <c r="C1040" t="s">
        <v>14</v>
      </c>
      <c r="D1040" t="s">
        <v>15</v>
      </c>
      <c r="G1040">
        <v>75.36</v>
      </c>
      <c r="J1040">
        <f t="shared" si="16"/>
        <v>75.36</v>
      </c>
    </row>
    <row r="1041" spans="1:10" x14ac:dyDescent="0.25">
      <c r="A1041" t="s">
        <v>166</v>
      </c>
      <c r="B1041" t="s">
        <v>167</v>
      </c>
      <c r="C1041" t="s">
        <v>16</v>
      </c>
      <c r="D1041" t="s">
        <v>17</v>
      </c>
      <c r="G1041">
        <v>83.24</v>
      </c>
      <c r="J1041">
        <f t="shared" si="16"/>
        <v>83.24</v>
      </c>
    </row>
    <row r="1042" spans="1:10" x14ac:dyDescent="0.25">
      <c r="A1042" t="s">
        <v>166</v>
      </c>
      <c r="B1042" t="s">
        <v>167</v>
      </c>
      <c r="C1042" t="s">
        <v>18</v>
      </c>
      <c r="D1042" t="s">
        <v>19</v>
      </c>
      <c r="G1042">
        <v>67.45</v>
      </c>
      <c r="J1042">
        <f t="shared" si="16"/>
        <v>67.45</v>
      </c>
    </row>
    <row r="1043" spans="1:10" x14ac:dyDescent="0.25">
      <c r="A1043" t="s">
        <v>166</v>
      </c>
      <c r="B1043" t="s">
        <v>167</v>
      </c>
      <c r="C1043" t="s">
        <v>20</v>
      </c>
      <c r="D1043" t="s">
        <v>21</v>
      </c>
      <c r="G1043">
        <v>78.91</v>
      </c>
      <c r="J1043">
        <f t="shared" si="16"/>
        <v>78.91</v>
      </c>
    </row>
    <row r="1044" spans="1:10" x14ac:dyDescent="0.25">
      <c r="A1044" t="s">
        <v>166</v>
      </c>
      <c r="B1044" t="s">
        <v>167</v>
      </c>
      <c r="C1044" t="s">
        <v>22</v>
      </c>
      <c r="D1044" t="s">
        <v>23</v>
      </c>
      <c r="G1044">
        <v>61.02</v>
      </c>
      <c r="J1044">
        <f t="shared" si="16"/>
        <v>61.02</v>
      </c>
    </row>
    <row r="1045" spans="1:10" x14ac:dyDescent="0.25">
      <c r="A1045" t="s">
        <v>166</v>
      </c>
      <c r="B1045" t="s">
        <v>167</v>
      </c>
      <c r="C1045" t="s">
        <v>24</v>
      </c>
      <c r="D1045" t="s">
        <v>25</v>
      </c>
      <c r="J1045">
        <f t="shared" si="16"/>
        <v>0</v>
      </c>
    </row>
    <row r="1046" spans="1:10" x14ac:dyDescent="0.25">
      <c r="A1046" t="s">
        <v>166</v>
      </c>
      <c r="B1046" t="s">
        <v>167</v>
      </c>
      <c r="C1046" t="s">
        <v>26</v>
      </c>
      <c r="D1046" t="s">
        <v>27</v>
      </c>
      <c r="J1046">
        <f t="shared" si="16"/>
        <v>0</v>
      </c>
    </row>
    <row r="1047" spans="1:10" x14ac:dyDescent="0.25">
      <c r="A1047" t="s">
        <v>166</v>
      </c>
      <c r="B1047" t="s">
        <v>167</v>
      </c>
      <c r="C1047" t="s">
        <v>28</v>
      </c>
      <c r="D1047" t="s">
        <v>29</v>
      </c>
      <c r="E1047">
        <v>10</v>
      </c>
      <c r="J1047">
        <f t="shared" si="16"/>
        <v>10</v>
      </c>
    </row>
    <row r="1048" spans="1:10" x14ac:dyDescent="0.25">
      <c r="A1048" t="s">
        <v>166</v>
      </c>
      <c r="B1048" t="s">
        <v>167</v>
      </c>
      <c r="C1048" t="s">
        <v>30</v>
      </c>
      <c r="D1048" t="s">
        <v>31</v>
      </c>
      <c r="J1048">
        <f t="shared" si="16"/>
        <v>0</v>
      </c>
    </row>
    <row r="1049" spans="1:10" x14ac:dyDescent="0.25">
      <c r="A1049" t="s">
        <v>166</v>
      </c>
      <c r="B1049" t="s">
        <v>167</v>
      </c>
      <c r="C1049" t="s">
        <v>32</v>
      </c>
      <c r="D1049" t="s">
        <v>33</v>
      </c>
      <c r="E1049">
        <v>12</v>
      </c>
      <c r="F1049">
        <v>12</v>
      </c>
      <c r="G1049">
        <v>12</v>
      </c>
      <c r="H1049">
        <v>12</v>
      </c>
      <c r="I1049">
        <v>12</v>
      </c>
      <c r="J1049">
        <f t="shared" si="16"/>
        <v>12</v>
      </c>
    </row>
    <row r="1050" spans="1:10" x14ac:dyDescent="0.25">
      <c r="A1050" t="s">
        <v>166</v>
      </c>
      <c r="B1050" t="s">
        <v>167</v>
      </c>
      <c r="C1050" t="s">
        <v>34</v>
      </c>
      <c r="D1050" t="s">
        <v>35</v>
      </c>
      <c r="E1050">
        <v>24.2857151031494</v>
      </c>
      <c r="F1050">
        <v>20.9523811340332</v>
      </c>
      <c r="G1050">
        <v>26.190475463867202</v>
      </c>
      <c r="H1050">
        <v>24.056604385376001</v>
      </c>
      <c r="I1050">
        <v>24.056604385376001</v>
      </c>
      <c r="J1050">
        <f t="shared" si="16"/>
        <v>26.190475463867202</v>
      </c>
    </row>
    <row r="1051" spans="1:10" x14ac:dyDescent="0.25">
      <c r="A1051" t="s">
        <v>166</v>
      </c>
      <c r="B1051" t="s">
        <v>167</v>
      </c>
      <c r="C1051" t="s">
        <v>36</v>
      </c>
      <c r="D1051" t="s">
        <v>37</v>
      </c>
      <c r="J1051">
        <f t="shared" si="16"/>
        <v>0</v>
      </c>
    </row>
    <row r="1052" spans="1:10" x14ac:dyDescent="0.25">
      <c r="A1052" t="s">
        <v>166</v>
      </c>
      <c r="B1052" t="s">
        <v>167</v>
      </c>
      <c r="C1052" t="s">
        <v>38</v>
      </c>
      <c r="D1052" t="s">
        <v>39</v>
      </c>
      <c r="J1052">
        <f t="shared" si="16"/>
        <v>0</v>
      </c>
    </row>
    <row r="1053" spans="1:10" x14ac:dyDescent="0.25">
      <c r="A1053" t="s">
        <v>166</v>
      </c>
      <c r="B1053" t="s">
        <v>167</v>
      </c>
      <c r="C1053" t="s">
        <v>40</v>
      </c>
      <c r="D1053" t="s">
        <v>41</v>
      </c>
      <c r="E1053">
        <v>60.064734999999999</v>
      </c>
      <c r="F1053">
        <v>58.766956</v>
      </c>
      <c r="G1053">
        <v>57.939014</v>
      </c>
      <c r="H1053">
        <v>61.55462</v>
      </c>
      <c r="J1053">
        <f t="shared" si="16"/>
        <v>61.55462</v>
      </c>
    </row>
    <row r="1054" spans="1:10" x14ac:dyDescent="0.25">
      <c r="A1054" t="s">
        <v>166</v>
      </c>
      <c r="B1054" t="s">
        <v>167</v>
      </c>
      <c r="C1054" t="s">
        <v>42</v>
      </c>
      <c r="D1054" t="s">
        <v>43</v>
      </c>
      <c r="J1054">
        <f t="shared" si="16"/>
        <v>0</v>
      </c>
    </row>
    <row r="1055" spans="1:10" x14ac:dyDescent="0.25">
      <c r="A1055" t="s">
        <v>166</v>
      </c>
      <c r="B1055" t="s">
        <v>167</v>
      </c>
      <c r="C1055" t="s">
        <v>44</v>
      </c>
      <c r="D1055" t="s">
        <v>45</v>
      </c>
      <c r="E1055">
        <v>23</v>
      </c>
      <c r="J1055">
        <f t="shared" si="16"/>
        <v>23</v>
      </c>
    </row>
    <row r="1056" spans="1:10" x14ac:dyDescent="0.25">
      <c r="A1056" t="s">
        <v>168</v>
      </c>
      <c r="B1056" t="s">
        <v>169</v>
      </c>
      <c r="C1056" t="s">
        <v>11</v>
      </c>
      <c r="D1056" t="s">
        <v>12</v>
      </c>
      <c r="G1056">
        <v>98.67</v>
      </c>
      <c r="J1056">
        <f t="shared" si="16"/>
        <v>98.67</v>
      </c>
    </row>
    <row r="1057" spans="1:10" x14ac:dyDescent="0.25">
      <c r="A1057" t="s">
        <v>168</v>
      </c>
      <c r="B1057" t="s">
        <v>169</v>
      </c>
      <c r="C1057" t="s">
        <v>14</v>
      </c>
      <c r="D1057" t="s">
        <v>15</v>
      </c>
      <c r="G1057">
        <v>98.68</v>
      </c>
      <c r="J1057">
        <f t="shared" si="16"/>
        <v>98.68</v>
      </c>
    </row>
    <row r="1058" spans="1:10" x14ac:dyDescent="0.25">
      <c r="A1058" t="s">
        <v>168</v>
      </c>
      <c r="B1058" t="s">
        <v>169</v>
      </c>
      <c r="C1058" t="s">
        <v>16</v>
      </c>
      <c r="D1058" t="s">
        <v>17</v>
      </c>
      <c r="G1058">
        <v>98.66</v>
      </c>
      <c r="J1058">
        <f t="shared" si="16"/>
        <v>98.66</v>
      </c>
    </row>
    <row r="1059" spans="1:10" x14ac:dyDescent="0.25">
      <c r="A1059" t="s">
        <v>168</v>
      </c>
      <c r="B1059" t="s">
        <v>169</v>
      </c>
      <c r="C1059" t="s">
        <v>18</v>
      </c>
      <c r="D1059" t="s">
        <v>19</v>
      </c>
      <c r="G1059">
        <v>96.89</v>
      </c>
      <c r="J1059">
        <f t="shared" si="16"/>
        <v>96.89</v>
      </c>
    </row>
    <row r="1060" spans="1:10" x14ac:dyDescent="0.25">
      <c r="A1060" t="s">
        <v>168</v>
      </c>
      <c r="B1060" t="s">
        <v>169</v>
      </c>
      <c r="C1060" t="s">
        <v>20</v>
      </c>
      <c r="D1060" t="s">
        <v>21</v>
      </c>
      <c r="G1060">
        <v>98.57</v>
      </c>
      <c r="J1060">
        <f t="shared" si="16"/>
        <v>98.57</v>
      </c>
    </row>
    <row r="1061" spans="1:10" x14ac:dyDescent="0.25">
      <c r="A1061" t="s">
        <v>168</v>
      </c>
      <c r="B1061" t="s">
        <v>169</v>
      </c>
      <c r="C1061" t="s">
        <v>22</v>
      </c>
      <c r="D1061" t="s">
        <v>23</v>
      </c>
      <c r="G1061">
        <v>95.56</v>
      </c>
      <c r="J1061">
        <f t="shared" si="16"/>
        <v>95.56</v>
      </c>
    </row>
    <row r="1062" spans="1:10" x14ac:dyDescent="0.25">
      <c r="A1062" t="s">
        <v>168</v>
      </c>
      <c r="B1062" t="s">
        <v>169</v>
      </c>
      <c r="C1062" t="s">
        <v>24</v>
      </c>
      <c r="D1062" t="s">
        <v>25</v>
      </c>
      <c r="J1062">
        <f t="shared" si="16"/>
        <v>0</v>
      </c>
    </row>
    <row r="1063" spans="1:10" x14ac:dyDescent="0.25">
      <c r="A1063" t="s">
        <v>168</v>
      </c>
      <c r="B1063" t="s">
        <v>169</v>
      </c>
      <c r="C1063" t="s">
        <v>26</v>
      </c>
      <c r="D1063" t="s">
        <v>27</v>
      </c>
      <c r="J1063">
        <f t="shared" si="16"/>
        <v>0</v>
      </c>
    </row>
    <row r="1064" spans="1:10" x14ac:dyDescent="0.25">
      <c r="A1064" t="s">
        <v>168</v>
      </c>
      <c r="B1064" t="s">
        <v>169</v>
      </c>
      <c r="C1064" t="s">
        <v>28</v>
      </c>
      <c r="D1064" t="s">
        <v>29</v>
      </c>
      <c r="E1064">
        <v>8</v>
      </c>
      <c r="J1064">
        <f t="shared" si="16"/>
        <v>8</v>
      </c>
    </row>
    <row r="1065" spans="1:10" x14ac:dyDescent="0.25">
      <c r="A1065" t="s">
        <v>168</v>
      </c>
      <c r="B1065" t="s">
        <v>169</v>
      </c>
      <c r="C1065" t="s">
        <v>30</v>
      </c>
      <c r="D1065" t="s">
        <v>31</v>
      </c>
      <c r="E1065">
        <v>39.969480137044002</v>
      </c>
      <c r="F1065">
        <v>46.431596642337901</v>
      </c>
      <c r="G1065">
        <v>48.955278643504002</v>
      </c>
      <c r="H1065">
        <v>51.1791323198157</v>
      </c>
      <c r="J1065">
        <f t="shared" si="16"/>
        <v>51.1791323198157</v>
      </c>
    </row>
    <row r="1066" spans="1:10" x14ac:dyDescent="0.25">
      <c r="A1066" t="s">
        <v>168</v>
      </c>
      <c r="B1066" t="s">
        <v>169</v>
      </c>
      <c r="C1066" t="s">
        <v>32</v>
      </c>
      <c r="D1066" t="s">
        <v>33</v>
      </c>
      <c r="E1066">
        <v>9</v>
      </c>
      <c r="F1066">
        <v>9</v>
      </c>
      <c r="G1066">
        <v>9</v>
      </c>
      <c r="H1066">
        <v>9</v>
      </c>
      <c r="I1066">
        <v>9</v>
      </c>
      <c r="J1066">
        <f t="shared" si="16"/>
        <v>9</v>
      </c>
    </row>
    <row r="1067" spans="1:10" x14ac:dyDescent="0.25">
      <c r="A1067" t="s">
        <v>168</v>
      </c>
      <c r="B1067" t="s">
        <v>169</v>
      </c>
      <c r="C1067" t="s">
        <v>34</v>
      </c>
      <c r="D1067" t="s">
        <v>35</v>
      </c>
      <c r="E1067">
        <v>75.238098144531193</v>
      </c>
      <c r="F1067">
        <v>75.238098144531193</v>
      </c>
      <c r="G1067">
        <v>76.666664123535199</v>
      </c>
      <c r="H1067">
        <v>76.886795043945298</v>
      </c>
      <c r="I1067">
        <v>79.716979980468807</v>
      </c>
      <c r="J1067">
        <f t="shared" si="16"/>
        <v>79.716979980468807</v>
      </c>
    </row>
    <row r="1068" spans="1:10" x14ac:dyDescent="0.25">
      <c r="A1068" t="s">
        <v>168</v>
      </c>
      <c r="B1068" t="s">
        <v>169</v>
      </c>
      <c r="C1068" t="s">
        <v>36</v>
      </c>
      <c r="D1068" t="s">
        <v>37</v>
      </c>
      <c r="J1068">
        <f t="shared" si="16"/>
        <v>0</v>
      </c>
    </row>
    <row r="1069" spans="1:10" x14ac:dyDescent="0.25">
      <c r="A1069" t="s">
        <v>168</v>
      </c>
      <c r="B1069" t="s">
        <v>169</v>
      </c>
      <c r="C1069" t="s">
        <v>38</v>
      </c>
      <c r="D1069" t="s">
        <v>39</v>
      </c>
      <c r="J1069">
        <f t="shared" si="16"/>
        <v>0</v>
      </c>
    </row>
    <row r="1070" spans="1:10" x14ac:dyDescent="0.25">
      <c r="A1070" t="s">
        <v>168</v>
      </c>
      <c r="B1070" t="s">
        <v>169</v>
      </c>
      <c r="C1070" t="s">
        <v>40</v>
      </c>
      <c r="D1070" t="s">
        <v>41</v>
      </c>
      <c r="E1070">
        <v>96.123594999999995</v>
      </c>
      <c r="F1070">
        <v>95.036581999999996</v>
      </c>
      <c r="G1070">
        <v>95.300612999999998</v>
      </c>
      <c r="H1070">
        <v>94.590853999999993</v>
      </c>
      <c r="J1070">
        <f t="shared" si="16"/>
        <v>96.123594999999995</v>
      </c>
    </row>
    <row r="1071" spans="1:10" x14ac:dyDescent="0.25">
      <c r="A1071" t="s">
        <v>168</v>
      </c>
      <c r="B1071" t="s">
        <v>169</v>
      </c>
      <c r="C1071" t="s">
        <v>42</v>
      </c>
      <c r="D1071" t="s">
        <v>43</v>
      </c>
      <c r="J1071">
        <f t="shared" si="16"/>
        <v>0</v>
      </c>
    </row>
    <row r="1072" spans="1:10" x14ac:dyDescent="0.25">
      <c r="A1072" t="s">
        <v>168</v>
      </c>
      <c r="B1072" t="s">
        <v>169</v>
      </c>
      <c r="C1072" t="s">
        <v>44</v>
      </c>
      <c r="D1072" t="s">
        <v>45</v>
      </c>
      <c r="E1072">
        <v>8</v>
      </c>
      <c r="J1072">
        <f t="shared" si="16"/>
        <v>8</v>
      </c>
    </row>
    <row r="1073" spans="1:10" x14ac:dyDescent="0.25">
      <c r="A1073" t="s">
        <v>170</v>
      </c>
      <c r="B1073" t="s">
        <v>171</v>
      </c>
      <c r="C1073" t="s">
        <v>11</v>
      </c>
      <c r="D1073" t="s">
        <v>12</v>
      </c>
      <c r="J1073">
        <f t="shared" si="16"/>
        <v>0</v>
      </c>
    </row>
    <row r="1074" spans="1:10" x14ac:dyDescent="0.25">
      <c r="A1074" t="s">
        <v>170</v>
      </c>
      <c r="B1074" t="s">
        <v>171</v>
      </c>
      <c r="C1074" t="s">
        <v>14</v>
      </c>
      <c r="D1074" t="s">
        <v>15</v>
      </c>
      <c r="J1074">
        <f t="shared" si="16"/>
        <v>0</v>
      </c>
    </row>
    <row r="1075" spans="1:10" x14ac:dyDescent="0.25">
      <c r="A1075" t="s">
        <v>170</v>
      </c>
      <c r="B1075" t="s">
        <v>171</v>
      </c>
      <c r="C1075" t="s">
        <v>16</v>
      </c>
      <c r="D1075" t="s">
        <v>17</v>
      </c>
      <c r="J1075">
        <f t="shared" si="16"/>
        <v>0</v>
      </c>
    </row>
    <row r="1076" spans="1:10" x14ac:dyDescent="0.25">
      <c r="A1076" t="s">
        <v>170</v>
      </c>
      <c r="B1076" t="s">
        <v>171</v>
      </c>
      <c r="C1076" t="s">
        <v>18</v>
      </c>
      <c r="D1076" t="s">
        <v>19</v>
      </c>
      <c r="J1076">
        <f t="shared" si="16"/>
        <v>0</v>
      </c>
    </row>
    <row r="1077" spans="1:10" x14ac:dyDescent="0.25">
      <c r="A1077" t="s">
        <v>170</v>
      </c>
      <c r="B1077" t="s">
        <v>171</v>
      </c>
      <c r="C1077" t="s">
        <v>20</v>
      </c>
      <c r="D1077" t="s">
        <v>21</v>
      </c>
      <c r="J1077">
        <f t="shared" si="16"/>
        <v>0</v>
      </c>
    </row>
    <row r="1078" spans="1:10" x14ac:dyDescent="0.25">
      <c r="A1078" t="s">
        <v>170</v>
      </c>
      <c r="B1078" t="s">
        <v>171</v>
      </c>
      <c r="C1078" t="s">
        <v>22</v>
      </c>
      <c r="D1078" t="s">
        <v>23</v>
      </c>
      <c r="J1078">
        <f t="shared" si="16"/>
        <v>0</v>
      </c>
    </row>
    <row r="1079" spans="1:10" x14ac:dyDescent="0.25">
      <c r="A1079" t="s">
        <v>170</v>
      </c>
      <c r="B1079" t="s">
        <v>171</v>
      </c>
      <c r="C1079" t="s">
        <v>24</v>
      </c>
      <c r="D1079" t="s">
        <v>25</v>
      </c>
      <c r="J1079">
        <f t="shared" si="16"/>
        <v>0</v>
      </c>
    </row>
    <row r="1080" spans="1:10" x14ac:dyDescent="0.25">
      <c r="A1080" t="s">
        <v>170</v>
      </c>
      <c r="B1080" t="s">
        <v>171</v>
      </c>
      <c r="C1080" t="s">
        <v>26</v>
      </c>
      <c r="D1080" t="s">
        <v>27</v>
      </c>
      <c r="J1080">
        <f t="shared" si="16"/>
        <v>0</v>
      </c>
    </row>
    <row r="1081" spans="1:10" x14ac:dyDescent="0.25">
      <c r="A1081" t="s">
        <v>170</v>
      </c>
      <c r="B1081" t="s">
        <v>171</v>
      </c>
      <c r="C1081" t="s">
        <v>28</v>
      </c>
      <c r="D1081" t="s">
        <v>29</v>
      </c>
      <c r="E1081">
        <v>5</v>
      </c>
      <c r="J1081">
        <f t="shared" si="16"/>
        <v>5</v>
      </c>
    </row>
    <row r="1082" spans="1:10" x14ac:dyDescent="0.25">
      <c r="A1082" t="s">
        <v>170</v>
      </c>
      <c r="B1082" t="s">
        <v>171</v>
      </c>
      <c r="C1082" t="s">
        <v>30</v>
      </c>
      <c r="D1082" t="s">
        <v>31</v>
      </c>
      <c r="J1082">
        <f t="shared" si="16"/>
        <v>0</v>
      </c>
    </row>
    <row r="1083" spans="1:10" x14ac:dyDescent="0.25">
      <c r="A1083" t="s">
        <v>170</v>
      </c>
      <c r="B1083" t="s">
        <v>171</v>
      </c>
      <c r="C1083" t="s">
        <v>32</v>
      </c>
      <c r="D1083" t="s">
        <v>33</v>
      </c>
      <c r="E1083">
        <v>9</v>
      </c>
      <c r="F1083">
        <v>9</v>
      </c>
      <c r="G1083">
        <v>9</v>
      </c>
      <c r="H1083">
        <v>9</v>
      </c>
      <c r="I1083">
        <v>9</v>
      </c>
      <c r="J1083">
        <f t="shared" si="16"/>
        <v>9</v>
      </c>
    </row>
    <row r="1084" spans="1:10" x14ac:dyDescent="0.25">
      <c r="A1084" t="s">
        <v>170</v>
      </c>
      <c r="B1084" t="s">
        <v>171</v>
      </c>
      <c r="C1084" t="s">
        <v>34</v>
      </c>
      <c r="D1084" t="s">
        <v>35</v>
      </c>
      <c r="E1084">
        <v>50</v>
      </c>
      <c r="F1084">
        <v>52.380950927734403</v>
      </c>
      <c r="G1084">
        <v>51.904762268066399</v>
      </c>
      <c r="H1084">
        <v>58.962265014648402</v>
      </c>
      <c r="I1084">
        <v>60.377357482910199</v>
      </c>
      <c r="J1084">
        <f t="shared" si="16"/>
        <v>60.377357482910199</v>
      </c>
    </row>
    <row r="1085" spans="1:10" x14ac:dyDescent="0.25">
      <c r="A1085" t="s">
        <v>170</v>
      </c>
      <c r="B1085" t="s">
        <v>171</v>
      </c>
      <c r="C1085" t="s">
        <v>36</v>
      </c>
      <c r="D1085" t="s">
        <v>37</v>
      </c>
      <c r="J1085">
        <f t="shared" si="16"/>
        <v>0</v>
      </c>
    </row>
    <row r="1086" spans="1:10" x14ac:dyDescent="0.25">
      <c r="A1086" t="s">
        <v>170</v>
      </c>
      <c r="B1086" t="s">
        <v>171</v>
      </c>
      <c r="C1086" t="s">
        <v>38</v>
      </c>
      <c r="D1086" t="s">
        <v>39</v>
      </c>
      <c r="J1086">
        <f t="shared" si="16"/>
        <v>0</v>
      </c>
    </row>
    <row r="1087" spans="1:10" x14ac:dyDescent="0.25">
      <c r="A1087" t="s">
        <v>170</v>
      </c>
      <c r="B1087" t="s">
        <v>171</v>
      </c>
      <c r="C1087" t="s">
        <v>40</v>
      </c>
      <c r="D1087" t="s">
        <v>41</v>
      </c>
      <c r="E1087">
        <v>94.200935999999999</v>
      </c>
      <c r="F1087">
        <v>92.336004000000003</v>
      </c>
      <c r="G1087">
        <v>89.346851000000001</v>
      </c>
      <c r="H1087">
        <v>93.041208999999995</v>
      </c>
      <c r="J1087">
        <f t="shared" si="16"/>
        <v>94.200935999999999</v>
      </c>
    </row>
    <row r="1088" spans="1:10" x14ac:dyDescent="0.25">
      <c r="A1088" t="s">
        <v>170</v>
      </c>
      <c r="B1088" t="s">
        <v>171</v>
      </c>
      <c r="C1088" t="s">
        <v>42</v>
      </c>
      <c r="D1088" t="s">
        <v>43</v>
      </c>
      <c r="J1088">
        <f t="shared" si="16"/>
        <v>0</v>
      </c>
    </row>
    <row r="1089" spans="1:10" x14ac:dyDescent="0.25">
      <c r="A1089" t="s">
        <v>170</v>
      </c>
      <c r="B1089" t="s">
        <v>171</v>
      </c>
      <c r="C1089" t="s">
        <v>44</v>
      </c>
      <c r="D1089" t="s">
        <v>45</v>
      </c>
      <c r="E1089">
        <v>19.399999999999999</v>
      </c>
      <c r="J1089">
        <f t="shared" si="16"/>
        <v>19.399999999999999</v>
      </c>
    </row>
    <row r="1090" spans="1:10" x14ac:dyDescent="0.25">
      <c r="A1090" t="s">
        <v>172</v>
      </c>
      <c r="B1090" t="s">
        <v>173</v>
      </c>
      <c r="C1090" t="s">
        <v>11</v>
      </c>
      <c r="D1090" t="s">
        <v>12</v>
      </c>
      <c r="G1090">
        <v>45.09</v>
      </c>
      <c r="J1090">
        <f t="shared" si="16"/>
        <v>45.09</v>
      </c>
    </row>
    <row r="1091" spans="1:10" x14ac:dyDescent="0.25">
      <c r="A1091" t="s">
        <v>172</v>
      </c>
      <c r="B1091" t="s">
        <v>173</v>
      </c>
      <c r="C1091" t="s">
        <v>14</v>
      </c>
      <c r="D1091" t="s">
        <v>15</v>
      </c>
      <c r="G1091">
        <v>43.76</v>
      </c>
      <c r="J1091">
        <f t="shared" ref="J1091:J1154" si="17">MAX(E1091:I1091)</f>
        <v>43.76</v>
      </c>
    </row>
    <row r="1092" spans="1:10" x14ac:dyDescent="0.25">
      <c r="A1092" t="s">
        <v>172</v>
      </c>
      <c r="B1092" t="s">
        <v>173</v>
      </c>
      <c r="C1092" t="s">
        <v>16</v>
      </c>
      <c r="D1092" t="s">
        <v>17</v>
      </c>
      <c r="G1092">
        <v>46.54</v>
      </c>
      <c r="J1092">
        <f t="shared" si="17"/>
        <v>46.54</v>
      </c>
    </row>
    <row r="1093" spans="1:10" x14ac:dyDescent="0.25">
      <c r="A1093" t="s">
        <v>172</v>
      </c>
      <c r="B1093" t="s">
        <v>173</v>
      </c>
      <c r="C1093" t="s">
        <v>18</v>
      </c>
      <c r="D1093" t="s">
        <v>19</v>
      </c>
      <c r="G1093">
        <v>44.09</v>
      </c>
      <c r="J1093">
        <f t="shared" si="17"/>
        <v>44.09</v>
      </c>
    </row>
    <row r="1094" spans="1:10" x14ac:dyDescent="0.25">
      <c r="A1094" t="s">
        <v>172</v>
      </c>
      <c r="B1094" t="s">
        <v>173</v>
      </c>
      <c r="C1094" t="s">
        <v>20</v>
      </c>
      <c r="D1094" t="s">
        <v>21</v>
      </c>
      <c r="G1094">
        <v>36.24</v>
      </c>
      <c r="J1094">
        <f t="shared" si="17"/>
        <v>36.24</v>
      </c>
    </row>
    <row r="1095" spans="1:10" x14ac:dyDescent="0.25">
      <c r="A1095" t="s">
        <v>172</v>
      </c>
      <c r="B1095" t="s">
        <v>173</v>
      </c>
      <c r="C1095" t="s">
        <v>22</v>
      </c>
      <c r="D1095" t="s">
        <v>23</v>
      </c>
      <c r="G1095">
        <v>28.94</v>
      </c>
      <c r="J1095">
        <f t="shared" si="17"/>
        <v>28.94</v>
      </c>
    </row>
    <row r="1096" spans="1:10" x14ac:dyDescent="0.25">
      <c r="A1096" t="s">
        <v>172</v>
      </c>
      <c r="B1096" t="s">
        <v>173</v>
      </c>
      <c r="C1096" t="s">
        <v>24</v>
      </c>
      <c r="D1096" t="s">
        <v>25</v>
      </c>
      <c r="J1096">
        <f t="shared" si="17"/>
        <v>0</v>
      </c>
    </row>
    <row r="1097" spans="1:10" x14ac:dyDescent="0.25">
      <c r="A1097" t="s">
        <v>172</v>
      </c>
      <c r="B1097" t="s">
        <v>173</v>
      </c>
      <c r="C1097" t="s">
        <v>26</v>
      </c>
      <c r="D1097" t="s">
        <v>27</v>
      </c>
      <c r="E1097">
        <v>31.4</v>
      </c>
      <c r="I1097">
        <v>31.4</v>
      </c>
      <c r="J1097">
        <f t="shared" si="17"/>
        <v>31.4</v>
      </c>
    </row>
    <row r="1098" spans="1:10" x14ac:dyDescent="0.25">
      <c r="A1098" t="s">
        <v>172</v>
      </c>
      <c r="B1098" t="s">
        <v>173</v>
      </c>
      <c r="C1098" t="s">
        <v>28</v>
      </c>
      <c r="D1098" t="s">
        <v>29</v>
      </c>
      <c r="E1098">
        <v>7</v>
      </c>
      <c r="J1098">
        <f t="shared" si="17"/>
        <v>7</v>
      </c>
    </row>
    <row r="1099" spans="1:10" x14ac:dyDescent="0.25">
      <c r="A1099" t="s">
        <v>172</v>
      </c>
      <c r="B1099" t="s">
        <v>173</v>
      </c>
      <c r="C1099" t="s">
        <v>30</v>
      </c>
      <c r="D1099" t="s">
        <v>31</v>
      </c>
      <c r="E1099">
        <v>51.332537837041102</v>
      </c>
      <c r="F1099">
        <v>67.956222293159499</v>
      </c>
      <c r="G1099">
        <v>56.362369460064301</v>
      </c>
      <c r="H1099">
        <v>47.085480540382001</v>
      </c>
      <c r="I1099">
        <v>44.0004229803138</v>
      </c>
      <c r="J1099">
        <f t="shared" si="17"/>
        <v>67.956222293159499</v>
      </c>
    </row>
    <row r="1100" spans="1:10" x14ac:dyDescent="0.25">
      <c r="A1100" t="s">
        <v>172</v>
      </c>
      <c r="B1100" t="s">
        <v>173</v>
      </c>
      <c r="C1100" t="s">
        <v>32</v>
      </c>
      <c r="D1100" t="s">
        <v>33</v>
      </c>
      <c r="E1100">
        <v>10</v>
      </c>
      <c r="F1100">
        <v>10</v>
      </c>
      <c r="G1100">
        <v>10</v>
      </c>
      <c r="H1100">
        <v>10</v>
      </c>
      <c r="I1100">
        <v>10</v>
      </c>
      <c r="J1100">
        <f t="shared" si="17"/>
        <v>10</v>
      </c>
    </row>
    <row r="1101" spans="1:10" x14ac:dyDescent="0.25">
      <c r="A1101" t="s">
        <v>172</v>
      </c>
      <c r="B1101" t="s">
        <v>173</v>
      </c>
      <c r="C1101" t="s">
        <v>34</v>
      </c>
      <c r="D1101" t="s">
        <v>35</v>
      </c>
      <c r="E1101">
        <v>17.142856597900401</v>
      </c>
      <c r="F1101">
        <v>13.3333330154419</v>
      </c>
      <c r="G1101">
        <v>12.8571424484253</v>
      </c>
      <c r="H1101">
        <v>10.377358436584499</v>
      </c>
      <c r="I1101">
        <v>11.3207550048828</v>
      </c>
      <c r="J1101">
        <f t="shared" si="17"/>
        <v>17.142856597900401</v>
      </c>
    </row>
    <row r="1102" spans="1:10" x14ac:dyDescent="0.25">
      <c r="A1102" t="s">
        <v>172</v>
      </c>
      <c r="B1102" t="s">
        <v>173</v>
      </c>
      <c r="C1102" t="s">
        <v>36</v>
      </c>
      <c r="D1102" t="s">
        <v>37</v>
      </c>
      <c r="E1102">
        <v>10.6172086816066</v>
      </c>
      <c r="F1102">
        <v>9.8844940401230907</v>
      </c>
      <c r="J1102">
        <f t="shared" si="17"/>
        <v>10.6172086816066</v>
      </c>
    </row>
    <row r="1103" spans="1:10" x14ac:dyDescent="0.25">
      <c r="A1103" t="s">
        <v>172</v>
      </c>
      <c r="B1103" t="s">
        <v>173</v>
      </c>
      <c r="C1103" t="s">
        <v>38</v>
      </c>
      <c r="D1103" t="s">
        <v>39</v>
      </c>
      <c r="E1103">
        <v>49.719659941076998</v>
      </c>
      <c r="F1103">
        <v>49.9245645504678</v>
      </c>
      <c r="J1103">
        <f t="shared" si="17"/>
        <v>49.9245645504678</v>
      </c>
    </row>
    <row r="1104" spans="1:10" x14ac:dyDescent="0.25">
      <c r="A1104" t="s">
        <v>172</v>
      </c>
      <c r="B1104" t="s">
        <v>173</v>
      </c>
      <c r="C1104" t="s">
        <v>40</v>
      </c>
      <c r="D1104" t="s">
        <v>41</v>
      </c>
      <c r="E1104">
        <v>82.858830999999995</v>
      </c>
      <c r="F1104">
        <v>79.533484999999999</v>
      </c>
      <c r="G1104">
        <v>80.020461999999995</v>
      </c>
      <c r="H1104">
        <v>83.671413999999999</v>
      </c>
      <c r="J1104">
        <f t="shared" si="17"/>
        <v>83.671413999999999</v>
      </c>
    </row>
    <row r="1105" spans="1:10" x14ac:dyDescent="0.25">
      <c r="A1105" t="s">
        <v>172</v>
      </c>
      <c r="B1105" t="s">
        <v>173</v>
      </c>
      <c r="C1105" t="s">
        <v>42</v>
      </c>
      <c r="D1105" t="s">
        <v>43</v>
      </c>
      <c r="J1105">
        <f t="shared" si="17"/>
        <v>0</v>
      </c>
    </row>
    <row r="1106" spans="1:10" x14ac:dyDescent="0.25">
      <c r="A1106" t="s">
        <v>172</v>
      </c>
      <c r="B1106" t="s">
        <v>173</v>
      </c>
      <c r="C1106" t="s">
        <v>44</v>
      </c>
      <c r="D1106" t="s">
        <v>45</v>
      </c>
      <c r="E1106">
        <v>10</v>
      </c>
      <c r="J1106">
        <f t="shared" si="17"/>
        <v>10</v>
      </c>
    </row>
    <row r="1107" spans="1:10" x14ac:dyDescent="0.25">
      <c r="A1107" t="s">
        <v>174</v>
      </c>
      <c r="B1107" t="s">
        <v>175</v>
      </c>
      <c r="C1107" t="s">
        <v>11</v>
      </c>
      <c r="D1107" t="s">
        <v>12</v>
      </c>
      <c r="G1107">
        <v>37.32</v>
      </c>
      <c r="J1107">
        <f t="shared" si="17"/>
        <v>37.32</v>
      </c>
    </row>
    <row r="1108" spans="1:10" x14ac:dyDescent="0.25">
      <c r="A1108" t="s">
        <v>174</v>
      </c>
      <c r="B1108" t="s">
        <v>175</v>
      </c>
      <c r="C1108" t="s">
        <v>14</v>
      </c>
      <c r="D1108" t="s">
        <v>15</v>
      </c>
      <c r="G1108">
        <v>37.85</v>
      </c>
      <c r="J1108">
        <f t="shared" si="17"/>
        <v>37.85</v>
      </c>
    </row>
    <row r="1109" spans="1:10" x14ac:dyDescent="0.25">
      <c r="A1109" t="s">
        <v>174</v>
      </c>
      <c r="B1109" t="s">
        <v>175</v>
      </c>
      <c r="C1109" t="s">
        <v>16</v>
      </c>
      <c r="D1109" t="s">
        <v>17</v>
      </c>
      <c r="G1109">
        <v>36.75</v>
      </c>
      <c r="J1109">
        <f t="shared" si="17"/>
        <v>36.75</v>
      </c>
    </row>
    <row r="1110" spans="1:10" x14ac:dyDescent="0.25">
      <c r="A1110" t="s">
        <v>174</v>
      </c>
      <c r="B1110" t="s">
        <v>175</v>
      </c>
      <c r="C1110" t="s">
        <v>18</v>
      </c>
      <c r="D1110" t="s">
        <v>19</v>
      </c>
      <c r="G1110">
        <v>22.8</v>
      </c>
      <c r="J1110">
        <f t="shared" si="17"/>
        <v>22.8</v>
      </c>
    </row>
    <row r="1111" spans="1:10" x14ac:dyDescent="0.25">
      <c r="A1111" t="s">
        <v>174</v>
      </c>
      <c r="B1111" t="s">
        <v>175</v>
      </c>
      <c r="C1111" t="s">
        <v>20</v>
      </c>
      <c r="D1111" t="s">
        <v>21</v>
      </c>
      <c r="G1111">
        <v>26.38</v>
      </c>
      <c r="J1111">
        <f t="shared" si="17"/>
        <v>26.38</v>
      </c>
    </row>
    <row r="1112" spans="1:10" x14ac:dyDescent="0.25">
      <c r="A1112" t="s">
        <v>174</v>
      </c>
      <c r="B1112" t="s">
        <v>175</v>
      </c>
      <c r="C1112" t="s">
        <v>22</v>
      </c>
      <c r="D1112" t="s">
        <v>23</v>
      </c>
      <c r="G1112">
        <v>28.72</v>
      </c>
      <c r="J1112">
        <f t="shared" si="17"/>
        <v>28.72</v>
      </c>
    </row>
    <row r="1113" spans="1:10" x14ac:dyDescent="0.25">
      <c r="A1113" t="s">
        <v>174</v>
      </c>
      <c r="B1113" t="s">
        <v>175</v>
      </c>
      <c r="C1113" t="s">
        <v>24</v>
      </c>
      <c r="D1113" t="s">
        <v>25</v>
      </c>
      <c r="J1113">
        <f t="shared" si="17"/>
        <v>0</v>
      </c>
    </row>
    <row r="1114" spans="1:10" x14ac:dyDescent="0.25">
      <c r="A1114" t="s">
        <v>174</v>
      </c>
      <c r="B1114" t="s">
        <v>175</v>
      </c>
      <c r="C1114" t="s">
        <v>26</v>
      </c>
      <c r="D1114" t="s">
        <v>27</v>
      </c>
      <c r="J1114">
        <f t="shared" si="17"/>
        <v>0</v>
      </c>
    </row>
    <row r="1115" spans="1:10" x14ac:dyDescent="0.25">
      <c r="A1115" t="s">
        <v>174</v>
      </c>
      <c r="B1115" t="s">
        <v>175</v>
      </c>
      <c r="C1115" t="s">
        <v>28</v>
      </c>
      <c r="D1115" t="s">
        <v>29</v>
      </c>
      <c r="E1115">
        <v>6</v>
      </c>
      <c r="J1115">
        <f t="shared" si="17"/>
        <v>6</v>
      </c>
    </row>
    <row r="1116" spans="1:10" x14ac:dyDescent="0.25">
      <c r="A1116" t="s">
        <v>174</v>
      </c>
      <c r="B1116" t="s">
        <v>175</v>
      </c>
      <c r="C1116" t="s">
        <v>30</v>
      </c>
      <c r="D1116" t="s">
        <v>31</v>
      </c>
      <c r="J1116">
        <f t="shared" si="17"/>
        <v>0</v>
      </c>
    </row>
    <row r="1117" spans="1:10" x14ac:dyDescent="0.25">
      <c r="A1117" t="s">
        <v>174</v>
      </c>
      <c r="B1117" t="s">
        <v>175</v>
      </c>
      <c r="C1117" t="s">
        <v>32</v>
      </c>
      <c r="D1117" t="s">
        <v>33</v>
      </c>
      <c r="E1117">
        <v>9</v>
      </c>
      <c r="F1117">
        <v>9</v>
      </c>
      <c r="G1117">
        <v>9</v>
      </c>
      <c r="H1117">
        <v>9</v>
      </c>
      <c r="I1117">
        <v>9</v>
      </c>
      <c r="J1117">
        <f t="shared" si="17"/>
        <v>9</v>
      </c>
    </row>
    <row r="1118" spans="1:10" x14ac:dyDescent="0.25">
      <c r="A1118" t="s">
        <v>174</v>
      </c>
      <c r="B1118" t="s">
        <v>175</v>
      </c>
      <c r="C1118" t="s">
        <v>34</v>
      </c>
      <c r="D1118" t="s">
        <v>35</v>
      </c>
      <c r="E1118">
        <v>12.8571424484253</v>
      </c>
      <c r="F1118">
        <v>14.761904716491699</v>
      </c>
      <c r="G1118">
        <v>15.238095283508301</v>
      </c>
      <c r="H1118">
        <v>19.811321258544901</v>
      </c>
      <c r="I1118">
        <v>19.811321258544901</v>
      </c>
      <c r="J1118">
        <f t="shared" si="17"/>
        <v>19.811321258544901</v>
      </c>
    </row>
    <row r="1119" spans="1:10" x14ac:dyDescent="0.25">
      <c r="A1119" t="s">
        <v>174</v>
      </c>
      <c r="B1119" t="s">
        <v>175</v>
      </c>
      <c r="C1119" t="s">
        <v>36</v>
      </c>
      <c r="D1119" t="s">
        <v>37</v>
      </c>
      <c r="J1119">
        <f t="shared" si="17"/>
        <v>0</v>
      </c>
    </row>
    <row r="1120" spans="1:10" x14ac:dyDescent="0.25">
      <c r="A1120" t="s">
        <v>174</v>
      </c>
      <c r="B1120" t="s">
        <v>175</v>
      </c>
      <c r="C1120" t="s">
        <v>38</v>
      </c>
      <c r="D1120" t="s">
        <v>39</v>
      </c>
      <c r="J1120">
        <f t="shared" si="17"/>
        <v>0</v>
      </c>
    </row>
    <row r="1121" spans="1:10" x14ac:dyDescent="0.25">
      <c r="A1121" t="s">
        <v>174</v>
      </c>
      <c r="B1121" t="s">
        <v>175</v>
      </c>
      <c r="C1121" t="s">
        <v>40</v>
      </c>
      <c r="D1121" t="s">
        <v>41</v>
      </c>
      <c r="E1121">
        <v>75.043710000000004</v>
      </c>
      <c r="F1121">
        <v>76.285458000000006</v>
      </c>
      <c r="G1121">
        <v>74.274300999999994</v>
      </c>
      <c r="H1121">
        <v>76.463452000000004</v>
      </c>
      <c r="J1121">
        <f t="shared" si="17"/>
        <v>76.463452000000004</v>
      </c>
    </row>
    <row r="1122" spans="1:10" x14ac:dyDescent="0.25">
      <c r="A1122" t="s">
        <v>174</v>
      </c>
      <c r="B1122" t="s">
        <v>175</v>
      </c>
      <c r="C1122" t="s">
        <v>42</v>
      </c>
      <c r="D1122" t="s">
        <v>43</v>
      </c>
      <c r="J1122">
        <f t="shared" si="17"/>
        <v>0</v>
      </c>
    </row>
    <row r="1123" spans="1:10" x14ac:dyDescent="0.25">
      <c r="A1123" t="s">
        <v>174</v>
      </c>
      <c r="B1123" t="s">
        <v>175</v>
      </c>
      <c r="C1123" t="s">
        <v>44</v>
      </c>
      <c r="D1123" t="s">
        <v>45</v>
      </c>
      <c r="E1123">
        <v>173</v>
      </c>
      <c r="J1123">
        <f t="shared" si="17"/>
        <v>173</v>
      </c>
    </row>
    <row r="1124" spans="1:10" x14ac:dyDescent="0.25">
      <c r="A1124" t="s">
        <v>176</v>
      </c>
      <c r="B1124" t="s">
        <v>177</v>
      </c>
      <c r="C1124" t="s">
        <v>11</v>
      </c>
      <c r="D1124" t="s">
        <v>12</v>
      </c>
      <c r="G1124">
        <v>96.62</v>
      </c>
      <c r="J1124">
        <f t="shared" si="17"/>
        <v>96.62</v>
      </c>
    </row>
    <row r="1125" spans="1:10" x14ac:dyDescent="0.25">
      <c r="A1125" t="s">
        <v>176</v>
      </c>
      <c r="B1125" t="s">
        <v>177</v>
      </c>
      <c r="C1125" t="s">
        <v>14</v>
      </c>
      <c r="D1125" t="s">
        <v>15</v>
      </c>
      <c r="G1125">
        <v>97.55</v>
      </c>
      <c r="J1125">
        <f t="shared" si="17"/>
        <v>97.55</v>
      </c>
    </row>
    <row r="1126" spans="1:10" x14ac:dyDescent="0.25">
      <c r="A1126" t="s">
        <v>176</v>
      </c>
      <c r="B1126" t="s">
        <v>177</v>
      </c>
      <c r="C1126" t="s">
        <v>16</v>
      </c>
      <c r="D1126" t="s">
        <v>17</v>
      </c>
      <c r="G1126">
        <v>95.51</v>
      </c>
      <c r="J1126">
        <f t="shared" si="17"/>
        <v>95.51</v>
      </c>
    </row>
    <row r="1127" spans="1:10" x14ac:dyDescent="0.25">
      <c r="A1127" t="s">
        <v>176</v>
      </c>
      <c r="B1127" t="s">
        <v>177</v>
      </c>
      <c r="C1127" t="s">
        <v>18</v>
      </c>
      <c r="D1127" t="s">
        <v>19</v>
      </c>
      <c r="G1127">
        <v>94.06</v>
      </c>
      <c r="J1127">
        <f t="shared" si="17"/>
        <v>94.06</v>
      </c>
    </row>
    <row r="1128" spans="1:10" x14ac:dyDescent="0.25">
      <c r="A1128" t="s">
        <v>176</v>
      </c>
      <c r="B1128" t="s">
        <v>177</v>
      </c>
      <c r="C1128" t="s">
        <v>20</v>
      </c>
      <c r="D1128" t="s">
        <v>21</v>
      </c>
      <c r="G1128">
        <v>94.33</v>
      </c>
      <c r="J1128">
        <f t="shared" si="17"/>
        <v>94.33</v>
      </c>
    </row>
    <row r="1129" spans="1:10" x14ac:dyDescent="0.25">
      <c r="A1129" t="s">
        <v>176</v>
      </c>
      <c r="B1129" t="s">
        <v>177</v>
      </c>
      <c r="C1129" t="s">
        <v>22</v>
      </c>
      <c r="D1129" t="s">
        <v>23</v>
      </c>
      <c r="G1129">
        <v>90.98</v>
      </c>
      <c r="J1129">
        <f t="shared" si="17"/>
        <v>90.98</v>
      </c>
    </row>
    <row r="1130" spans="1:10" x14ac:dyDescent="0.25">
      <c r="A1130" t="s">
        <v>176</v>
      </c>
      <c r="B1130" t="s">
        <v>177</v>
      </c>
      <c r="C1130" t="s">
        <v>24</v>
      </c>
      <c r="D1130" t="s">
        <v>25</v>
      </c>
      <c r="J1130">
        <f t="shared" si="17"/>
        <v>0</v>
      </c>
    </row>
    <row r="1131" spans="1:10" x14ac:dyDescent="0.25">
      <c r="A1131" t="s">
        <v>176</v>
      </c>
      <c r="B1131" t="s">
        <v>177</v>
      </c>
      <c r="C1131" t="s">
        <v>26</v>
      </c>
      <c r="D1131" t="s">
        <v>27</v>
      </c>
      <c r="E1131">
        <v>2</v>
      </c>
      <c r="J1131">
        <f t="shared" si="17"/>
        <v>2</v>
      </c>
    </row>
    <row r="1132" spans="1:10" x14ac:dyDescent="0.25">
      <c r="A1132" t="s">
        <v>176</v>
      </c>
      <c r="B1132" t="s">
        <v>177</v>
      </c>
      <c r="C1132" t="s">
        <v>28</v>
      </c>
      <c r="D1132" t="s">
        <v>29</v>
      </c>
      <c r="E1132">
        <v>5</v>
      </c>
      <c r="J1132">
        <f t="shared" si="17"/>
        <v>5</v>
      </c>
    </row>
    <row r="1133" spans="1:10" x14ac:dyDescent="0.25">
      <c r="A1133" t="s">
        <v>176</v>
      </c>
      <c r="B1133" t="s">
        <v>177</v>
      </c>
      <c r="C1133" t="s">
        <v>30</v>
      </c>
      <c r="D1133" t="s">
        <v>31</v>
      </c>
      <c r="J1133">
        <f t="shared" si="17"/>
        <v>0</v>
      </c>
    </row>
    <row r="1134" spans="1:10" x14ac:dyDescent="0.25">
      <c r="A1134" t="s">
        <v>176</v>
      </c>
      <c r="B1134" t="s">
        <v>177</v>
      </c>
      <c r="C1134" t="s">
        <v>32</v>
      </c>
      <c r="D1134" t="s">
        <v>33</v>
      </c>
      <c r="E1134">
        <v>11</v>
      </c>
      <c r="F1134">
        <v>11</v>
      </c>
      <c r="G1134">
        <v>11</v>
      </c>
      <c r="H1134">
        <v>11</v>
      </c>
      <c r="I1134">
        <v>11</v>
      </c>
      <c r="J1134">
        <f t="shared" si="17"/>
        <v>11</v>
      </c>
    </row>
    <row r="1135" spans="1:10" x14ac:dyDescent="0.25">
      <c r="A1135" t="s">
        <v>176</v>
      </c>
      <c r="B1135" t="s">
        <v>177</v>
      </c>
      <c r="C1135" t="s">
        <v>34</v>
      </c>
      <c r="D1135" t="s">
        <v>35</v>
      </c>
      <c r="E1135">
        <v>66.666664123535199</v>
      </c>
      <c r="F1135">
        <v>74.761901855468807</v>
      </c>
      <c r="G1135">
        <v>76.190475463867202</v>
      </c>
      <c r="H1135">
        <v>75.471694946289105</v>
      </c>
      <c r="I1135">
        <v>74.528305053710895</v>
      </c>
      <c r="J1135">
        <f t="shared" si="17"/>
        <v>76.190475463867202</v>
      </c>
    </row>
    <row r="1136" spans="1:10" x14ac:dyDescent="0.25">
      <c r="A1136" t="s">
        <v>176</v>
      </c>
      <c r="B1136" t="s">
        <v>177</v>
      </c>
      <c r="C1136" t="s">
        <v>36</v>
      </c>
      <c r="D1136" t="s">
        <v>37</v>
      </c>
      <c r="J1136">
        <f t="shared" si="17"/>
        <v>0</v>
      </c>
    </row>
    <row r="1137" spans="1:10" x14ac:dyDescent="0.25">
      <c r="A1137" t="s">
        <v>176</v>
      </c>
      <c r="B1137" t="s">
        <v>177</v>
      </c>
      <c r="C1137" t="s">
        <v>38</v>
      </c>
      <c r="D1137" t="s">
        <v>39</v>
      </c>
      <c r="J1137">
        <f t="shared" si="17"/>
        <v>0</v>
      </c>
    </row>
    <row r="1138" spans="1:10" x14ac:dyDescent="0.25">
      <c r="A1138" t="s">
        <v>176</v>
      </c>
      <c r="B1138" t="s">
        <v>177</v>
      </c>
      <c r="C1138" t="s">
        <v>40</v>
      </c>
      <c r="D1138" t="s">
        <v>41</v>
      </c>
      <c r="E1138">
        <v>87.167636000000002</v>
      </c>
      <c r="F1138">
        <v>87.363545000000002</v>
      </c>
      <c r="G1138">
        <v>84.585686999999993</v>
      </c>
      <c r="H1138">
        <v>86.664956000000004</v>
      </c>
      <c r="J1138">
        <f t="shared" si="17"/>
        <v>87.363545000000002</v>
      </c>
    </row>
    <row r="1139" spans="1:10" x14ac:dyDescent="0.25">
      <c r="A1139" t="s">
        <v>176</v>
      </c>
      <c r="B1139" t="s">
        <v>177</v>
      </c>
      <c r="C1139" t="s">
        <v>42</v>
      </c>
      <c r="D1139" t="s">
        <v>43</v>
      </c>
      <c r="J1139">
        <f t="shared" si="17"/>
        <v>0</v>
      </c>
    </row>
    <row r="1140" spans="1:10" x14ac:dyDescent="0.25">
      <c r="A1140" t="s">
        <v>176</v>
      </c>
      <c r="B1140" t="s">
        <v>177</v>
      </c>
      <c r="C1140" t="s">
        <v>44</v>
      </c>
      <c r="D1140" t="s">
        <v>45</v>
      </c>
      <c r="E1140">
        <v>5.5</v>
      </c>
      <c r="J1140">
        <f t="shared" si="17"/>
        <v>5.5</v>
      </c>
    </row>
    <row r="1141" spans="1:10" x14ac:dyDescent="0.25">
      <c r="A1141" t="s">
        <v>178</v>
      </c>
      <c r="B1141" t="s">
        <v>179</v>
      </c>
      <c r="C1141" t="s">
        <v>11</v>
      </c>
      <c r="D1141" t="s">
        <v>12</v>
      </c>
      <c r="G1141">
        <v>20.7</v>
      </c>
      <c r="J1141">
        <f t="shared" si="17"/>
        <v>20.7</v>
      </c>
    </row>
    <row r="1142" spans="1:10" x14ac:dyDescent="0.25">
      <c r="A1142" t="s">
        <v>178</v>
      </c>
      <c r="B1142" t="s">
        <v>179</v>
      </c>
      <c r="C1142" t="s">
        <v>14</v>
      </c>
      <c r="D1142" t="s">
        <v>15</v>
      </c>
      <c r="G1142">
        <v>16.59</v>
      </c>
      <c r="J1142">
        <f t="shared" si="17"/>
        <v>16.59</v>
      </c>
    </row>
    <row r="1143" spans="1:10" x14ac:dyDescent="0.25">
      <c r="A1143" t="s">
        <v>178</v>
      </c>
      <c r="B1143" t="s">
        <v>179</v>
      </c>
      <c r="C1143" t="s">
        <v>16</v>
      </c>
      <c r="D1143" t="s">
        <v>17</v>
      </c>
      <c r="G1143">
        <v>24.65</v>
      </c>
      <c r="J1143">
        <f t="shared" si="17"/>
        <v>24.65</v>
      </c>
    </row>
    <row r="1144" spans="1:10" x14ac:dyDescent="0.25">
      <c r="A1144" t="s">
        <v>178</v>
      </c>
      <c r="B1144" t="s">
        <v>179</v>
      </c>
      <c r="C1144" t="s">
        <v>18</v>
      </c>
      <c r="D1144" t="s">
        <v>19</v>
      </c>
      <c r="G1144">
        <v>12.85</v>
      </c>
      <c r="J1144">
        <f t="shared" si="17"/>
        <v>12.85</v>
      </c>
    </row>
    <row r="1145" spans="1:10" x14ac:dyDescent="0.25">
      <c r="A1145" t="s">
        <v>178</v>
      </c>
      <c r="B1145" t="s">
        <v>179</v>
      </c>
      <c r="C1145" t="s">
        <v>20</v>
      </c>
      <c r="D1145" t="s">
        <v>21</v>
      </c>
      <c r="G1145">
        <v>7.87</v>
      </c>
      <c r="J1145">
        <f t="shared" si="17"/>
        <v>7.87</v>
      </c>
    </row>
    <row r="1146" spans="1:10" x14ac:dyDescent="0.25">
      <c r="A1146" t="s">
        <v>178</v>
      </c>
      <c r="B1146" t="s">
        <v>179</v>
      </c>
      <c r="C1146" t="s">
        <v>22</v>
      </c>
      <c r="D1146" t="s">
        <v>23</v>
      </c>
      <c r="G1146">
        <v>15.51</v>
      </c>
      <c r="J1146">
        <f t="shared" si="17"/>
        <v>15.51</v>
      </c>
    </row>
    <row r="1147" spans="1:10" x14ac:dyDescent="0.25">
      <c r="A1147" t="s">
        <v>178</v>
      </c>
      <c r="B1147" t="s">
        <v>179</v>
      </c>
      <c r="C1147" t="s">
        <v>24</v>
      </c>
      <c r="D1147" t="s">
        <v>25</v>
      </c>
      <c r="J1147">
        <f t="shared" si="17"/>
        <v>0</v>
      </c>
    </row>
    <row r="1148" spans="1:10" x14ac:dyDescent="0.25">
      <c r="A1148" t="s">
        <v>178</v>
      </c>
      <c r="B1148" t="s">
        <v>179</v>
      </c>
      <c r="C1148" t="s">
        <v>26</v>
      </c>
      <c r="D1148" t="s">
        <v>27</v>
      </c>
      <c r="E1148">
        <v>21.8</v>
      </c>
      <c r="J1148">
        <f t="shared" si="17"/>
        <v>21.8</v>
      </c>
    </row>
    <row r="1149" spans="1:10" x14ac:dyDescent="0.25">
      <c r="A1149" t="s">
        <v>178</v>
      </c>
      <c r="B1149" t="s">
        <v>179</v>
      </c>
      <c r="C1149" t="s">
        <v>28</v>
      </c>
      <c r="D1149" t="s">
        <v>29</v>
      </c>
      <c r="E1149">
        <v>9</v>
      </c>
      <c r="J1149">
        <f t="shared" si="17"/>
        <v>9</v>
      </c>
    </row>
    <row r="1150" spans="1:10" x14ac:dyDescent="0.25">
      <c r="A1150" t="s">
        <v>178</v>
      </c>
      <c r="B1150" t="s">
        <v>179</v>
      </c>
      <c r="C1150" t="s">
        <v>30</v>
      </c>
      <c r="D1150" t="s">
        <v>31</v>
      </c>
      <c r="J1150">
        <f t="shared" si="17"/>
        <v>0</v>
      </c>
    </row>
    <row r="1151" spans="1:10" x14ac:dyDescent="0.25">
      <c r="A1151" t="s">
        <v>178</v>
      </c>
      <c r="B1151" t="s">
        <v>179</v>
      </c>
      <c r="C1151" t="s">
        <v>32</v>
      </c>
      <c r="D1151" t="s">
        <v>33</v>
      </c>
      <c r="E1151">
        <v>10</v>
      </c>
      <c r="F1151">
        <v>10</v>
      </c>
      <c r="G1151">
        <v>10</v>
      </c>
      <c r="H1151">
        <v>10</v>
      </c>
      <c r="I1151">
        <v>10</v>
      </c>
      <c r="J1151">
        <f t="shared" si="17"/>
        <v>10</v>
      </c>
    </row>
    <row r="1152" spans="1:10" x14ac:dyDescent="0.25">
      <c r="A1152" t="s">
        <v>178</v>
      </c>
      <c r="B1152" t="s">
        <v>179</v>
      </c>
      <c r="C1152" t="s">
        <v>34</v>
      </c>
      <c r="D1152" t="s">
        <v>35</v>
      </c>
      <c r="E1152">
        <v>11.904762268066399</v>
      </c>
      <c r="F1152">
        <v>11.904762268066399</v>
      </c>
      <c r="G1152">
        <v>10.4761905670166</v>
      </c>
      <c r="H1152">
        <v>14.1509437561035</v>
      </c>
      <c r="I1152">
        <v>10.8490562438965</v>
      </c>
      <c r="J1152">
        <f t="shared" si="17"/>
        <v>14.1509437561035</v>
      </c>
    </row>
    <row r="1153" spans="1:10" x14ac:dyDescent="0.25">
      <c r="A1153" t="s">
        <v>178</v>
      </c>
      <c r="B1153" t="s">
        <v>179</v>
      </c>
      <c r="C1153" t="s">
        <v>36</v>
      </c>
      <c r="D1153" t="s">
        <v>37</v>
      </c>
      <c r="J1153">
        <f t="shared" si="17"/>
        <v>0</v>
      </c>
    </row>
    <row r="1154" spans="1:10" x14ac:dyDescent="0.25">
      <c r="A1154" t="s">
        <v>178</v>
      </c>
      <c r="B1154" t="s">
        <v>179</v>
      </c>
      <c r="C1154" t="s">
        <v>38</v>
      </c>
      <c r="D1154" t="s">
        <v>39</v>
      </c>
      <c r="J1154">
        <f t="shared" si="17"/>
        <v>0</v>
      </c>
    </row>
    <row r="1155" spans="1:10" x14ac:dyDescent="0.25">
      <c r="A1155" t="s">
        <v>178</v>
      </c>
      <c r="B1155" t="s">
        <v>179</v>
      </c>
      <c r="C1155" t="s">
        <v>40</v>
      </c>
      <c r="D1155" t="s">
        <v>41</v>
      </c>
      <c r="E1155">
        <v>89.796081999999998</v>
      </c>
      <c r="F1155">
        <v>87.723491999999993</v>
      </c>
      <c r="G1155">
        <v>85.523454999999998</v>
      </c>
      <c r="H1155">
        <v>89.587873000000002</v>
      </c>
      <c r="J1155">
        <f t="shared" ref="J1155:J1218" si="18">MAX(E1155:I1155)</f>
        <v>89.796081999999998</v>
      </c>
    </row>
    <row r="1156" spans="1:10" x14ac:dyDescent="0.25">
      <c r="A1156" t="s">
        <v>178</v>
      </c>
      <c r="B1156" t="s">
        <v>179</v>
      </c>
      <c r="C1156" t="s">
        <v>42</v>
      </c>
      <c r="D1156" t="s">
        <v>43</v>
      </c>
      <c r="J1156">
        <f t="shared" si="18"/>
        <v>0</v>
      </c>
    </row>
    <row r="1157" spans="1:10" x14ac:dyDescent="0.25">
      <c r="A1157" t="s">
        <v>178</v>
      </c>
      <c r="B1157" t="s">
        <v>179</v>
      </c>
      <c r="C1157" t="s">
        <v>44</v>
      </c>
      <c r="D1157" t="s">
        <v>45</v>
      </c>
      <c r="E1157">
        <v>15</v>
      </c>
      <c r="J1157">
        <f t="shared" si="18"/>
        <v>15</v>
      </c>
    </row>
    <row r="1158" spans="1:10" x14ac:dyDescent="0.25">
      <c r="A1158" t="s">
        <v>180</v>
      </c>
      <c r="B1158" t="s">
        <v>181</v>
      </c>
      <c r="C1158" t="s">
        <v>11</v>
      </c>
      <c r="D1158" t="s">
        <v>12</v>
      </c>
      <c r="H1158">
        <v>63.63</v>
      </c>
      <c r="J1158">
        <f t="shared" si="18"/>
        <v>63.63</v>
      </c>
    </row>
    <row r="1159" spans="1:10" x14ac:dyDescent="0.25">
      <c r="A1159" t="s">
        <v>180</v>
      </c>
      <c r="B1159" t="s">
        <v>181</v>
      </c>
      <c r="C1159" t="s">
        <v>14</v>
      </c>
      <c r="D1159" t="s">
        <v>15</v>
      </c>
      <c r="H1159">
        <v>62.37</v>
      </c>
      <c r="J1159">
        <f t="shared" si="18"/>
        <v>62.37</v>
      </c>
    </row>
    <row r="1160" spans="1:10" x14ac:dyDescent="0.25">
      <c r="A1160" t="s">
        <v>180</v>
      </c>
      <c r="B1160" t="s">
        <v>181</v>
      </c>
      <c r="C1160" t="s">
        <v>16</v>
      </c>
      <c r="D1160" t="s">
        <v>17</v>
      </c>
      <c r="H1160">
        <v>65.05</v>
      </c>
      <c r="J1160">
        <f t="shared" si="18"/>
        <v>65.05</v>
      </c>
    </row>
    <row r="1161" spans="1:10" x14ac:dyDescent="0.25">
      <c r="A1161" t="s">
        <v>180</v>
      </c>
      <c r="B1161" t="s">
        <v>181</v>
      </c>
      <c r="C1161" t="s">
        <v>18</v>
      </c>
      <c r="D1161" t="s">
        <v>19</v>
      </c>
      <c r="H1161">
        <v>58.64</v>
      </c>
      <c r="J1161">
        <f t="shared" si="18"/>
        <v>58.64</v>
      </c>
    </row>
    <row r="1162" spans="1:10" x14ac:dyDescent="0.25">
      <c r="A1162" t="s">
        <v>180</v>
      </c>
      <c r="B1162" t="s">
        <v>181</v>
      </c>
      <c r="C1162" t="s">
        <v>20</v>
      </c>
      <c r="D1162" t="s">
        <v>21</v>
      </c>
      <c r="H1162">
        <v>61.8</v>
      </c>
      <c r="J1162">
        <f t="shared" si="18"/>
        <v>61.8</v>
      </c>
    </row>
    <row r="1163" spans="1:10" x14ac:dyDescent="0.25">
      <c r="A1163" t="s">
        <v>180</v>
      </c>
      <c r="B1163" t="s">
        <v>181</v>
      </c>
      <c r="C1163" t="s">
        <v>22</v>
      </c>
      <c r="D1163" t="s">
        <v>23</v>
      </c>
      <c r="H1163">
        <v>55.49</v>
      </c>
      <c r="J1163">
        <f t="shared" si="18"/>
        <v>55.49</v>
      </c>
    </row>
    <row r="1164" spans="1:10" x14ac:dyDescent="0.25">
      <c r="A1164" t="s">
        <v>180</v>
      </c>
      <c r="B1164" t="s">
        <v>181</v>
      </c>
      <c r="C1164" t="s">
        <v>24</v>
      </c>
      <c r="D1164" t="s">
        <v>25</v>
      </c>
      <c r="J1164">
        <f t="shared" si="18"/>
        <v>0</v>
      </c>
    </row>
    <row r="1165" spans="1:10" x14ac:dyDescent="0.25">
      <c r="A1165" t="s">
        <v>180</v>
      </c>
      <c r="B1165" t="s">
        <v>181</v>
      </c>
      <c r="C1165" t="s">
        <v>26</v>
      </c>
      <c r="D1165" t="s">
        <v>27</v>
      </c>
      <c r="I1165">
        <v>7.3</v>
      </c>
      <c r="J1165">
        <f t="shared" si="18"/>
        <v>7.3</v>
      </c>
    </row>
    <row r="1166" spans="1:10" x14ac:dyDescent="0.25">
      <c r="A1166" t="s">
        <v>180</v>
      </c>
      <c r="B1166" t="s">
        <v>181</v>
      </c>
      <c r="C1166" t="s">
        <v>28</v>
      </c>
      <c r="D1166" t="s">
        <v>29</v>
      </c>
      <c r="E1166">
        <v>3</v>
      </c>
      <c r="J1166">
        <f t="shared" si="18"/>
        <v>3</v>
      </c>
    </row>
    <row r="1167" spans="1:10" x14ac:dyDescent="0.25">
      <c r="A1167" t="s">
        <v>180</v>
      </c>
      <c r="B1167" t="s">
        <v>181</v>
      </c>
      <c r="C1167" t="s">
        <v>30</v>
      </c>
      <c r="D1167" t="s">
        <v>31</v>
      </c>
      <c r="E1167">
        <v>32.1670318908686</v>
      </c>
      <c r="F1167">
        <v>2.9927168525560202</v>
      </c>
      <c r="J1167">
        <f t="shared" si="18"/>
        <v>32.1670318908686</v>
      </c>
    </row>
    <row r="1168" spans="1:10" x14ac:dyDescent="0.25">
      <c r="A1168" t="s">
        <v>180</v>
      </c>
      <c r="B1168" t="s">
        <v>181</v>
      </c>
      <c r="C1168" t="s">
        <v>32</v>
      </c>
      <c r="D1168" t="s">
        <v>33</v>
      </c>
      <c r="E1168">
        <v>7</v>
      </c>
      <c r="F1168">
        <v>7</v>
      </c>
      <c r="G1168">
        <v>7</v>
      </c>
      <c r="H1168">
        <v>7</v>
      </c>
      <c r="I1168">
        <v>7</v>
      </c>
      <c r="J1168">
        <f t="shared" si="18"/>
        <v>7</v>
      </c>
    </row>
    <row r="1169" spans="1:10" x14ac:dyDescent="0.25">
      <c r="A1169" t="s">
        <v>180</v>
      </c>
      <c r="B1169" t="s">
        <v>181</v>
      </c>
      <c r="C1169" t="s">
        <v>34</v>
      </c>
      <c r="D1169" t="s">
        <v>35</v>
      </c>
      <c r="E1169">
        <v>51.4285697937012</v>
      </c>
      <c r="F1169">
        <v>49.047618865966797</v>
      </c>
      <c r="G1169">
        <v>42.857143402099602</v>
      </c>
      <c r="H1169">
        <v>41.037734985351598</v>
      </c>
      <c r="I1169">
        <v>33.490566253662102</v>
      </c>
      <c r="J1169">
        <f t="shared" si="18"/>
        <v>51.4285697937012</v>
      </c>
    </row>
    <row r="1170" spans="1:10" x14ac:dyDescent="0.25">
      <c r="A1170" t="s">
        <v>180</v>
      </c>
      <c r="B1170" t="s">
        <v>181</v>
      </c>
      <c r="C1170" t="s">
        <v>36</v>
      </c>
      <c r="D1170" t="s">
        <v>37</v>
      </c>
      <c r="J1170">
        <f t="shared" si="18"/>
        <v>0</v>
      </c>
    </row>
    <row r="1171" spans="1:10" x14ac:dyDescent="0.25">
      <c r="A1171" t="s">
        <v>180</v>
      </c>
      <c r="B1171" t="s">
        <v>181</v>
      </c>
      <c r="C1171" t="s">
        <v>38</v>
      </c>
      <c r="D1171" t="s">
        <v>39</v>
      </c>
      <c r="J1171">
        <f t="shared" si="18"/>
        <v>0</v>
      </c>
    </row>
    <row r="1172" spans="1:10" x14ac:dyDescent="0.25">
      <c r="A1172" t="s">
        <v>180</v>
      </c>
      <c r="B1172" t="s">
        <v>181</v>
      </c>
      <c r="C1172" t="s">
        <v>40</v>
      </c>
      <c r="D1172" t="s">
        <v>41</v>
      </c>
      <c r="E1172">
        <v>45.575623999999998</v>
      </c>
      <c r="F1172">
        <v>45.744323999999999</v>
      </c>
      <c r="G1172">
        <v>42.5749</v>
      </c>
      <c r="H1172">
        <v>49.357239</v>
      </c>
      <c r="J1172">
        <f t="shared" si="18"/>
        <v>49.357239</v>
      </c>
    </row>
    <row r="1173" spans="1:10" x14ac:dyDescent="0.25">
      <c r="A1173" t="s">
        <v>180</v>
      </c>
      <c r="B1173" t="s">
        <v>181</v>
      </c>
      <c r="C1173" t="s">
        <v>42</v>
      </c>
      <c r="D1173" t="s">
        <v>43</v>
      </c>
      <c r="J1173">
        <f t="shared" si="18"/>
        <v>0</v>
      </c>
    </row>
    <row r="1174" spans="1:10" x14ac:dyDescent="0.25">
      <c r="A1174" t="s">
        <v>180</v>
      </c>
      <c r="B1174" t="s">
        <v>181</v>
      </c>
      <c r="C1174" t="s">
        <v>44</v>
      </c>
      <c r="D1174" t="s">
        <v>45</v>
      </c>
      <c r="E1174">
        <v>15</v>
      </c>
      <c r="J1174">
        <f t="shared" si="18"/>
        <v>15</v>
      </c>
    </row>
    <row r="1175" spans="1:10" x14ac:dyDescent="0.25">
      <c r="A1175" t="s">
        <v>182</v>
      </c>
      <c r="B1175" t="s">
        <v>183</v>
      </c>
      <c r="C1175" t="s">
        <v>11</v>
      </c>
      <c r="D1175" t="s">
        <v>12</v>
      </c>
      <c r="G1175">
        <v>51.63</v>
      </c>
      <c r="J1175">
        <f t="shared" si="18"/>
        <v>51.63</v>
      </c>
    </row>
    <row r="1176" spans="1:10" x14ac:dyDescent="0.25">
      <c r="A1176" t="s">
        <v>182</v>
      </c>
      <c r="B1176" t="s">
        <v>183</v>
      </c>
      <c r="C1176" t="s">
        <v>14</v>
      </c>
      <c r="D1176" t="s">
        <v>15</v>
      </c>
      <c r="G1176">
        <v>44.2</v>
      </c>
      <c r="J1176">
        <f t="shared" si="18"/>
        <v>44.2</v>
      </c>
    </row>
    <row r="1177" spans="1:10" x14ac:dyDescent="0.25">
      <c r="A1177" t="s">
        <v>182</v>
      </c>
      <c r="B1177" t="s">
        <v>183</v>
      </c>
      <c r="C1177" t="s">
        <v>16</v>
      </c>
      <c r="D1177" t="s">
        <v>17</v>
      </c>
      <c r="G1177">
        <v>59.34</v>
      </c>
      <c r="J1177">
        <f t="shared" si="18"/>
        <v>59.34</v>
      </c>
    </row>
    <row r="1178" spans="1:10" x14ac:dyDescent="0.25">
      <c r="A1178" t="s">
        <v>182</v>
      </c>
      <c r="B1178" t="s">
        <v>183</v>
      </c>
      <c r="C1178" t="s">
        <v>18</v>
      </c>
      <c r="D1178" t="s">
        <v>19</v>
      </c>
      <c r="G1178">
        <v>42.1</v>
      </c>
      <c r="J1178">
        <f t="shared" si="18"/>
        <v>42.1</v>
      </c>
    </row>
    <row r="1179" spans="1:10" x14ac:dyDescent="0.25">
      <c r="A1179" t="s">
        <v>182</v>
      </c>
      <c r="B1179" t="s">
        <v>183</v>
      </c>
      <c r="C1179" t="s">
        <v>20</v>
      </c>
      <c r="D1179" t="s">
        <v>21</v>
      </c>
      <c r="G1179">
        <v>54</v>
      </c>
      <c r="J1179">
        <f t="shared" si="18"/>
        <v>54</v>
      </c>
    </row>
    <row r="1180" spans="1:10" x14ac:dyDescent="0.25">
      <c r="A1180" t="s">
        <v>182</v>
      </c>
      <c r="B1180" t="s">
        <v>183</v>
      </c>
      <c r="C1180" t="s">
        <v>22</v>
      </c>
      <c r="D1180" t="s">
        <v>23</v>
      </c>
      <c r="G1180">
        <v>42.85</v>
      </c>
      <c r="J1180">
        <f t="shared" si="18"/>
        <v>42.85</v>
      </c>
    </row>
    <row r="1181" spans="1:10" x14ac:dyDescent="0.25">
      <c r="A1181" t="s">
        <v>182</v>
      </c>
      <c r="B1181" t="s">
        <v>183</v>
      </c>
      <c r="C1181" t="s">
        <v>24</v>
      </c>
      <c r="D1181" t="s">
        <v>25</v>
      </c>
      <c r="J1181">
        <f t="shared" si="18"/>
        <v>0</v>
      </c>
    </row>
    <row r="1182" spans="1:10" x14ac:dyDescent="0.25">
      <c r="A1182" t="s">
        <v>182</v>
      </c>
      <c r="B1182" t="s">
        <v>183</v>
      </c>
      <c r="C1182" t="s">
        <v>26</v>
      </c>
      <c r="D1182" t="s">
        <v>27</v>
      </c>
      <c r="J1182">
        <f t="shared" si="18"/>
        <v>0</v>
      </c>
    </row>
    <row r="1183" spans="1:10" x14ac:dyDescent="0.25">
      <c r="A1183" t="s">
        <v>182</v>
      </c>
      <c r="B1183" t="s">
        <v>183</v>
      </c>
      <c r="C1183" t="s">
        <v>28</v>
      </c>
      <c r="D1183" t="s">
        <v>29</v>
      </c>
      <c r="E1183">
        <v>4</v>
      </c>
      <c r="J1183">
        <f t="shared" si="18"/>
        <v>4</v>
      </c>
    </row>
    <row r="1184" spans="1:10" x14ac:dyDescent="0.25">
      <c r="A1184" t="s">
        <v>182</v>
      </c>
      <c r="B1184" t="s">
        <v>183</v>
      </c>
      <c r="C1184" t="s">
        <v>30</v>
      </c>
      <c r="D1184" t="s">
        <v>31</v>
      </c>
      <c r="J1184">
        <f t="shared" si="18"/>
        <v>0</v>
      </c>
    </row>
    <row r="1185" spans="1:10" x14ac:dyDescent="0.25">
      <c r="A1185" t="s">
        <v>182</v>
      </c>
      <c r="B1185" t="s">
        <v>183</v>
      </c>
      <c r="C1185" t="s">
        <v>32</v>
      </c>
      <c r="D1185" t="s">
        <v>33</v>
      </c>
      <c r="E1185">
        <v>6</v>
      </c>
      <c r="F1185">
        <v>6</v>
      </c>
      <c r="G1185">
        <v>6</v>
      </c>
      <c r="H1185">
        <v>6</v>
      </c>
      <c r="I1185">
        <v>6</v>
      </c>
      <c r="J1185">
        <f t="shared" si="18"/>
        <v>6</v>
      </c>
    </row>
    <row r="1186" spans="1:10" x14ac:dyDescent="0.25">
      <c r="A1186" t="s">
        <v>182</v>
      </c>
      <c r="B1186" t="s">
        <v>183</v>
      </c>
      <c r="C1186" t="s">
        <v>34</v>
      </c>
      <c r="D1186" t="s">
        <v>35</v>
      </c>
      <c r="E1186">
        <v>17.619047164916999</v>
      </c>
      <c r="F1186">
        <v>20</v>
      </c>
      <c r="G1186">
        <v>19.0476188659668</v>
      </c>
      <c r="H1186">
        <v>20.283018112182599</v>
      </c>
      <c r="I1186">
        <v>20.754716873168899</v>
      </c>
      <c r="J1186">
        <f t="shared" si="18"/>
        <v>20.754716873168899</v>
      </c>
    </row>
    <row r="1187" spans="1:10" x14ac:dyDescent="0.25">
      <c r="A1187" t="s">
        <v>182</v>
      </c>
      <c r="B1187" t="s">
        <v>183</v>
      </c>
      <c r="C1187" t="s">
        <v>36</v>
      </c>
      <c r="D1187" t="s">
        <v>37</v>
      </c>
      <c r="J1187">
        <f t="shared" si="18"/>
        <v>0</v>
      </c>
    </row>
    <row r="1188" spans="1:10" x14ac:dyDescent="0.25">
      <c r="A1188" t="s">
        <v>182</v>
      </c>
      <c r="B1188" t="s">
        <v>183</v>
      </c>
      <c r="C1188" t="s">
        <v>38</v>
      </c>
      <c r="D1188" t="s">
        <v>39</v>
      </c>
      <c r="J1188">
        <f t="shared" si="18"/>
        <v>0</v>
      </c>
    </row>
    <row r="1189" spans="1:10" x14ac:dyDescent="0.25">
      <c r="A1189" t="s">
        <v>182</v>
      </c>
      <c r="B1189" t="s">
        <v>183</v>
      </c>
      <c r="C1189" t="s">
        <v>40</v>
      </c>
      <c r="D1189" t="s">
        <v>41</v>
      </c>
      <c r="E1189">
        <v>60.469372999999997</v>
      </c>
      <c r="F1189">
        <v>60.391070999999997</v>
      </c>
      <c r="G1189">
        <v>59.261254000000001</v>
      </c>
      <c r="H1189">
        <v>61.502448000000001</v>
      </c>
      <c r="J1189">
        <f t="shared" si="18"/>
        <v>61.502448000000001</v>
      </c>
    </row>
    <row r="1190" spans="1:10" x14ac:dyDescent="0.25">
      <c r="A1190" t="s">
        <v>182</v>
      </c>
      <c r="B1190" t="s">
        <v>183</v>
      </c>
      <c r="C1190" t="s">
        <v>42</v>
      </c>
      <c r="D1190" t="s">
        <v>43</v>
      </c>
      <c r="J1190">
        <f t="shared" si="18"/>
        <v>0</v>
      </c>
    </row>
    <row r="1191" spans="1:10" x14ac:dyDescent="0.25">
      <c r="A1191" t="s">
        <v>182</v>
      </c>
      <c r="B1191" t="s">
        <v>183</v>
      </c>
      <c r="C1191" t="s">
        <v>44</v>
      </c>
      <c r="D1191" t="s">
        <v>45</v>
      </c>
      <c r="E1191">
        <v>18</v>
      </c>
      <c r="J1191">
        <f t="shared" si="18"/>
        <v>18</v>
      </c>
    </row>
    <row r="1192" spans="1:10" x14ac:dyDescent="0.25">
      <c r="A1192" t="s">
        <v>184</v>
      </c>
      <c r="B1192" t="s">
        <v>185</v>
      </c>
      <c r="C1192" t="s">
        <v>11</v>
      </c>
      <c r="D1192" t="s">
        <v>12</v>
      </c>
      <c r="G1192">
        <v>93.53</v>
      </c>
      <c r="J1192">
        <f t="shared" si="18"/>
        <v>93.53</v>
      </c>
    </row>
    <row r="1193" spans="1:10" x14ac:dyDescent="0.25">
      <c r="A1193" t="s">
        <v>184</v>
      </c>
      <c r="B1193" t="s">
        <v>185</v>
      </c>
      <c r="C1193" t="s">
        <v>14</v>
      </c>
      <c r="D1193" t="s">
        <v>15</v>
      </c>
      <c r="G1193">
        <v>90.38</v>
      </c>
      <c r="J1193">
        <f t="shared" si="18"/>
        <v>90.38</v>
      </c>
    </row>
    <row r="1194" spans="1:10" x14ac:dyDescent="0.25">
      <c r="A1194" t="s">
        <v>184</v>
      </c>
      <c r="B1194" t="s">
        <v>185</v>
      </c>
      <c r="C1194" t="s">
        <v>16</v>
      </c>
      <c r="D1194" t="s">
        <v>17</v>
      </c>
      <c r="G1194">
        <v>96.99</v>
      </c>
      <c r="J1194">
        <f t="shared" si="18"/>
        <v>96.99</v>
      </c>
    </row>
    <row r="1195" spans="1:10" x14ac:dyDescent="0.25">
      <c r="A1195" t="s">
        <v>184</v>
      </c>
      <c r="B1195" t="s">
        <v>185</v>
      </c>
      <c r="C1195" t="s">
        <v>18</v>
      </c>
      <c r="D1195" t="s">
        <v>19</v>
      </c>
      <c r="G1195">
        <v>91.33</v>
      </c>
      <c r="J1195">
        <f t="shared" si="18"/>
        <v>91.33</v>
      </c>
    </row>
    <row r="1196" spans="1:10" x14ac:dyDescent="0.25">
      <c r="A1196" t="s">
        <v>184</v>
      </c>
      <c r="B1196" t="s">
        <v>185</v>
      </c>
      <c r="C1196" t="s">
        <v>20</v>
      </c>
      <c r="D1196" t="s">
        <v>21</v>
      </c>
      <c r="G1196">
        <v>92.02</v>
      </c>
      <c r="J1196">
        <f t="shared" si="18"/>
        <v>92.02</v>
      </c>
    </row>
    <row r="1197" spans="1:10" x14ac:dyDescent="0.25">
      <c r="A1197" t="s">
        <v>184</v>
      </c>
      <c r="B1197" t="s">
        <v>185</v>
      </c>
      <c r="C1197" t="s">
        <v>22</v>
      </c>
      <c r="D1197" t="s">
        <v>23</v>
      </c>
      <c r="G1197">
        <v>74.08</v>
      </c>
      <c r="J1197">
        <f t="shared" si="18"/>
        <v>74.08</v>
      </c>
    </row>
    <row r="1198" spans="1:10" x14ac:dyDescent="0.25">
      <c r="A1198" t="s">
        <v>184</v>
      </c>
      <c r="B1198" t="s">
        <v>185</v>
      </c>
      <c r="C1198" t="s">
        <v>24</v>
      </c>
      <c r="D1198" t="s">
        <v>25</v>
      </c>
      <c r="J1198">
        <f t="shared" si="18"/>
        <v>0</v>
      </c>
    </row>
    <row r="1199" spans="1:10" x14ac:dyDescent="0.25">
      <c r="A1199" t="s">
        <v>184</v>
      </c>
      <c r="B1199" t="s">
        <v>185</v>
      </c>
      <c r="C1199" t="s">
        <v>26</v>
      </c>
      <c r="D1199" t="s">
        <v>27</v>
      </c>
      <c r="E1199">
        <v>0.2</v>
      </c>
      <c r="J1199">
        <f t="shared" si="18"/>
        <v>0.2</v>
      </c>
    </row>
    <row r="1200" spans="1:10" x14ac:dyDescent="0.25">
      <c r="A1200" t="s">
        <v>184</v>
      </c>
      <c r="B1200" t="s">
        <v>185</v>
      </c>
      <c r="C1200" t="s">
        <v>28</v>
      </c>
      <c r="D1200" t="s">
        <v>29</v>
      </c>
      <c r="E1200">
        <v>7</v>
      </c>
      <c r="J1200">
        <f t="shared" si="18"/>
        <v>7</v>
      </c>
    </row>
    <row r="1201" spans="1:10" x14ac:dyDescent="0.25">
      <c r="A1201" t="s">
        <v>184</v>
      </c>
      <c r="B1201" t="s">
        <v>185</v>
      </c>
      <c r="C1201" t="s">
        <v>30</v>
      </c>
      <c r="D1201" t="s">
        <v>31</v>
      </c>
      <c r="E1201">
        <v>41.874799308916899</v>
      </c>
      <c r="F1201">
        <v>52.452434373952201</v>
      </c>
      <c r="G1201">
        <v>48.039065582289503</v>
      </c>
      <c r="H1201">
        <v>36.038370442459602</v>
      </c>
      <c r="J1201">
        <f t="shared" si="18"/>
        <v>52.452434373952201</v>
      </c>
    </row>
    <row r="1202" spans="1:10" x14ac:dyDescent="0.25">
      <c r="A1202" t="s">
        <v>184</v>
      </c>
      <c r="B1202" t="s">
        <v>185</v>
      </c>
      <c r="C1202" t="s">
        <v>32</v>
      </c>
      <c r="D1202" t="s">
        <v>33</v>
      </c>
      <c r="E1202">
        <v>11</v>
      </c>
      <c r="F1202">
        <v>11</v>
      </c>
      <c r="G1202">
        <v>11</v>
      </c>
      <c r="H1202">
        <v>11</v>
      </c>
      <c r="I1202">
        <v>11</v>
      </c>
      <c r="J1202">
        <f t="shared" si="18"/>
        <v>11</v>
      </c>
    </row>
    <row r="1203" spans="1:10" x14ac:dyDescent="0.25">
      <c r="A1203" t="s">
        <v>184</v>
      </c>
      <c r="B1203" t="s">
        <v>185</v>
      </c>
      <c r="C1203" t="s">
        <v>34</v>
      </c>
      <c r="D1203" t="s">
        <v>35</v>
      </c>
      <c r="E1203">
        <v>73.333335876464801</v>
      </c>
      <c r="F1203">
        <v>78.571426391601605</v>
      </c>
      <c r="G1203">
        <v>79.523811340332003</v>
      </c>
      <c r="H1203">
        <v>76.415092468261705</v>
      </c>
      <c r="I1203">
        <v>77.830184936523395</v>
      </c>
      <c r="J1203">
        <f t="shared" si="18"/>
        <v>79.523811340332003</v>
      </c>
    </row>
    <row r="1204" spans="1:10" x14ac:dyDescent="0.25">
      <c r="A1204" t="s">
        <v>184</v>
      </c>
      <c r="B1204" t="s">
        <v>185</v>
      </c>
      <c r="C1204" t="s">
        <v>36</v>
      </c>
      <c r="D1204" t="s">
        <v>37</v>
      </c>
      <c r="J1204">
        <f t="shared" si="18"/>
        <v>0</v>
      </c>
    </row>
    <row r="1205" spans="1:10" x14ac:dyDescent="0.25">
      <c r="A1205" t="s">
        <v>184</v>
      </c>
      <c r="B1205" t="s">
        <v>185</v>
      </c>
      <c r="C1205" t="s">
        <v>38</v>
      </c>
      <c r="D1205" t="s">
        <v>39</v>
      </c>
      <c r="J1205">
        <f t="shared" si="18"/>
        <v>0</v>
      </c>
    </row>
    <row r="1206" spans="1:10" x14ac:dyDescent="0.25">
      <c r="A1206" t="s">
        <v>184</v>
      </c>
      <c r="B1206" t="s">
        <v>185</v>
      </c>
      <c r="C1206" t="s">
        <v>40</v>
      </c>
      <c r="D1206" t="s">
        <v>41</v>
      </c>
      <c r="E1206">
        <v>88.670056000000002</v>
      </c>
      <c r="F1206">
        <v>87.482324000000006</v>
      </c>
      <c r="G1206">
        <v>86.147987000000001</v>
      </c>
      <c r="H1206">
        <v>86.946074999999993</v>
      </c>
      <c r="J1206">
        <f t="shared" si="18"/>
        <v>88.670056000000002</v>
      </c>
    </row>
    <row r="1207" spans="1:10" x14ac:dyDescent="0.25">
      <c r="A1207" t="s">
        <v>184</v>
      </c>
      <c r="B1207" t="s">
        <v>185</v>
      </c>
      <c r="C1207" t="s">
        <v>42</v>
      </c>
      <c r="D1207" t="s">
        <v>43</v>
      </c>
      <c r="J1207">
        <f t="shared" si="18"/>
        <v>0</v>
      </c>
    </row>
    <row r="1208" spans="1:10" x14ac:dyDescent="0.25">
      <c r="A1208" t="s">
        <v>184</v>
      </c>
      <c r="B1208" t="s">
        <v>185</v>
      </c>
      <c r="C1208" t="s">
        <v>44</v>
      </c>
      <c r="D1208" t="s">
        <v>45</v>
      </c>
      <c r="E1208">
        <v>5.5</v>
      </c>
      <c r="J1208">
        <f t="shared" si="18"/>
        <v>5.5</v>
      </c>
    </row>
    <row r="1209" spans="1:10" x14ac:dyDescent="0.25">
      <c r="A1209" t="s">
        <v>186</v>
      </c>
      <c r="B1209" t="s">
        <v>187</v>
      </c>
      <c r="C1209" t="s">
        <v>11</v>
      </c>
      <c r="D1209" t="s">
        <v>12</v>
      </c>
      <c r="J1209">
        <f t="shared" si="18"/>
        <v>0</v>
      </c>
    </row>
    <row r="1210" spans="1:10" x14ac:dyDescent="0.25">
      <c r="A1210" t="s">
        <v>186</v>
      </c>
      <c r="B1210" t="s">
        <v>187</v>
      </c>
      <c r="C1210" t="s">
        <v>14</v>
      </c>
      <c r="D1210" t="s">
        <v>15</v>
      </c>
      <c r="J1210">
        <f t="shared" si="18"/>
        <v>0</v>
      </c>
    </row>
    <row r="1211" spans="1:10" x14ac:dyDescent="0.25">
      <c r="A1211" t="s">
        <v>186</v>
      </c>
      <c r="B1211" t="s">
        <v>187</v>
      </c>
      <c r="C1211" t="s">
        <v>16</v>
      </c>
      <c r="D1211" t="s">
        <v>17</v>
      </c>
      <c r="J1211">
        <f t="shared" si="18"/>
        <v>0</v>
      </c>
    </row>
    <row r="1212" spans="1:10" x14ac:dyDescent="0.25">
      <c r="A1212" t="s">
        <v>186</v>
      </c>
      <c r="B1212" t="s">
        <v>187</v>
      </c>
      <c r="C1212" t="s">
        <v>18</v>
      </c>
      <c r="D1212" t="s">
        <v>19</v>
      </c>
      <c r="J1212">
        <f t="shared" si="18"/>
        <v>0</v>
      </c>
    </row>
    <row r="1213" spans="1:10" x14ac:dyDescent="0.25">
      <c r="A1213" t="s">
        <v>186</v>
      </c>
      <c r="B1213" t="s">
        <v>187</v>
      </c>
      <c r="C1213" t="s">
        <v>20</v>
      </c>
      <c r="D1213" t="s">
        <v>21</v>
      </c>
      <c r="J1213">
        <f t="shared" si="18"/>
        <v>0</v>
      </c>
    </row>
    <row r="1214" spans="1:10" x14ac:dyDescent="0.25">
      <c r="A1214" t="s">
        <v>186</v>
      </c>
      <c r="B1214" t="s">
        <v>187</v>
      </c>
      <c r="C1214" t="s">
        <v>22</v>
      </c>
      <c r="D1214" t="s">
        <v>23</v>
      </c>
      <c r="J1214">
        <f t="shared" si="18"/>
        <v>0</v>
      </c>
    </row>
    <row r="1215" spans="1:10" x14ac:dyDescent="0.25">
      <c r="A1215" t="s">
        <v>186</v>
      </c>
      <c r="B1215" t="s">
        <v>187</v>
      </c>
      <c r="C1215" t="s">
        <v>24</v>
      </c>
      <c r="D1215" t="s">
        <v>25</v>
      </c>
      <c r="J1215">
        <f t="shared" si="18"/>
        <v>0</v>
      </c>
    </row>
    <row r="1216" spans="1:10" x14ac:dyDescent="0.25">
      <c r="A1216" t="s">
        <v>186</v>
      </c>
      <c r="B1216" t="s">
        <v>187</v>
      </c>
      <c r="C1216" t="s">
        <v>26</v>
      </c>
      <c r="D1216" t="s">
        <v>27</v>
      </c>
      <c r="F1216">
        <v>0</v>
      </c>
      <c r="J1216">
        <f t="shared" si="18"/>
        <v>0</v>
      </c>
    </row>
    <row r="1217" spans="1:10" x14ac:dyDescent="0.25">
      <c r="A1217" t="s">
        <v>186</v>
      </c>
      <c r="B1217" t="s">
        <v>187</v>
      </c>
      <c r="C1217" t="s">
        <v>28</v>
      </c>
      <c r="D1217" t="s">
        <v>29</v>
      </c>
      <c r="E1217">
        <v>6</v>
      </c>
      <c r="J1217">
        <f t="shared" si="18"/>
        <v>6</v>
      </c>
    </row>
    <row r="1218" spans="1:10" x14ac:dyDescent="0.25">
      <c r="A1218" t="s">
        <v>186</v>
      </c>
      <c r="B1218" t="s">
        <v>187</v>
      </c>
      <c r="C1218" t="s">
        <v>30</v>
      </c>
      <c r="D1218" t="s">
        <v>31</v>
      </c>
      <c r="J1218">
        <f t="shared" si="18"/>
        <v>0</v>
      </c>
    </row>
    <row r="1219" spans="1:10" x14ac:dyDescent="0.25">
      <c r="A1219" t="s">
        <v>186</v>
      </c>
      <c r="B1219" t="s">
        <v>187</v>
      </c>
      <c r="C1219" t="s">
        <v>32</v>
      </c>
      <c r="D1219" t="s">
        <v>33</v>
      </c>
      <c r="E1219">
        <v>12</v>
      </c>
      <c r="F1219">
        <v>12</v>
      </c>
      <c r="G1219">
        <v>12</v>
      </c>
      <c r="H1219">
        <v>12</v>
      </c>
      <c r="I1219">
        <v>12</v>
      </c>
      <c r="J1219">
        <f t="shared" ref="J1219:J1282" si="19">MAX(E1219:I1219)</f>
        <v>12</v>
      </c>
    </row>
    <row r="1220" spans="1:10" x14ac:dyDescent="0.25">
      <c r="A1220" t="s">
        <v>186</v>
      </c>
      <c r="B1220" t="s">
        <v>187</v>
      </c>
      <c r="C1220" t="s">
        <v>34</v>
      </c>
      <c r="D1220" t="s">
        <v>35</v>
      </c>
      <c r="E1220">
        <v>97.619049072265597</v>
      </c>
      <c r="F1220">
        <v>96.666664123535199</v>
      </c>
      <c r="G1220">
        <v>96.190475463867202</v>
      </c>
      <c r="H1220">
        <v>96.226417541503906</v>
      </c>
      <c r="I1220">
        <v>96.698112487792997</v>
      </c>
      <c r="J1220">
        <f t="shared" si="19"/>
        <v>97.619049072265597</v>
      </c>
    </row>
    <row r="1221" spans="1:10" x14ac:dyDescent="0.25">
      <c r="A1221" t="s">
        <v>186</v>
      </c>
      <c r="B1221" t="s">
        <v>187</v>
      </c>
      <c r="C1221" t="s">
        <v>36</v>
      </c>
      <c r="D1221" t="s">
        <v>37</v>
      </c>
      <c r="J1221">
        <f t="shared" si="19"/>
        <v>0</v>
      </c>
    </row>
    <row r="1222" spans="1:10" x14ac:dyDescent="0.25">
      <c r="A1222" t="s">
        <v>186</v>
      </c>
      <c r="B1222" t="s">
        <v>187</v>
      </c>
      <c r="C1222" t="s">
        <v>38</v>
      </c>
      <c r="D1222" t="s">
        <v>39</v>
      </c>
      <c r="J1222">
        <f t="shared" si="19"/>
        <v>0</v>
      </c>
    </row>
    <row r="1223" spans="1:10" x14ac:dyDescent="0.25">
      <c r="A1223" t="s">
        <v>186</v>
      </c>
      <c r="B1223" t="s">
        <v>187</v>
      </c>
      <c r="C1223" t="s">
        <v>40</v>
      </c>
      <c r="D1223" t="s">
        <v>41</v>
      </c>
      <c r="E1223">
        <v>91.139356000000006</v>
      </c>
      <c r="F1223">
        <v>92.227162000000007</v>
      </c>
      <c r="G1223">
        <v>91.897935000000004</v>
      </c>
      <c r="H1223">
        <v>92.554040999999998</v>
      </c>
      <c r="J1223">
        <f t="shared" si="19"/>
        <v>92.554040999999998</v>
      </c>
    </row>
    <row r="1224" spans="1:10" x14ac:dyDescent="0.25">
      <c r="A1224" t="s">
        <v>186</v>
      </c>
      <c r="B1224" t="s">
        <v>187</v>
      </c>
      <c r="C1224" t="s">
        <v>42</v>
      </c>
      <c r="D1224" t="s">
        <v>43</v>
      </c>
      <c r="J1224">
        <f t="shared" si="19"/>
        <v>0</v>
      </c>
    </row>
    <row r="1225" spans="1:10" x14ac:dyDescent="0.25">
      <c r="A1225" t="s">
        <v>186</v>
      </c>
      <c r="B1225" t="s">
        <v>187</v>
      </c>
      <c r="C1225" t="s">
        <v>44</v>
      </c>
      <c r="D1225" t="s">
        <v>45</v>
      </c>
      <c r="E1225">
        <v>16.5</v>
      </c>
      <c r="J1225">
        <f t="shared" si="19"/>
        <v>16.5</v>
      </c>
    </row>
    <row r="1226" spans="1:10" x14ac:dyDescent="0.25">
      <c r="A1226" t="s">
        <v>188</v>
      </c>
      <c r="B1226" t="s">
        <v>189</v>
      </c>
      <c r="C1226" t="s">
        <v>11</v>
      </c>
      <c r="D1226" t="s">
        <v>12</v>
      </c>
      <c r="J1226">
        <f t="shared" si="19"/>
        <v>0</v>
      </c>
    </row>
    <row r="1227" spans="1:10" x14ac:dyDescent="0.25">
      <c r="A1227" t="s">
        <v>188</v>
      </c>
      <c r="B1227" t="s">
        <v>189</v>
      </c>
      <c r="C1227" t="s">
        <v>14</v>
      </c>
      <c r="D1227" t="s">
        <v>15</v>
      </c>
      <c r="J1227">
        <f t="shared" si="19"/>
        <v>0</v>
      </c>
    </row>
    <row r="1228" spans="1:10" x14ac:dyDescent="0.25">
      <c r="A1228" t="s">
        <v>188</v>
      </c>
      <c r="B1228" t="s">
        <v>189</v>
      </c>
      <c r="C1228" t="s">
        <v>16</v>
      </c>
      <c r="D1228" t="s">
        <v>17</v>
      </c>
      <c r="J1228">
        <f t="shared" si="19"/>
        <v>0</v>
      </c>
    </row>
    <row r="1229" spans="1:10" x14ac:dyDescent="0.25">
      <c r="A1229" t="s">
        <v>188</v>
      </c>
      <c r="B1229" t="s">
        <v>189</v>
      </c>
      <c r="C1229" t="s">
        <v>18</v>
      </c>
      <c r="D1229" t="s">
        <v>19</v>
      </c>
      <c r="J1229">
        <f t="shared" si="19"/>
        <v>0</v>
      </c>
    </row>
    <row r="1230" spans="1:10" x14ac:dyDescent="0.25">
      <c r="A1230" t="s">
        <v>188</v>
      </c>
      <c r="B1230" t="s">
        <v>189</v>
      </c>
      <c r="C1230" t="s">
        <v>20</v>
      </c>
      <c r="D1230" t="s">
        <v>21</v>
      </c>
      <c r="J1230">
        <f t="shared" si="19"/>
        <v>0</v>
      </c>
    </row>
    <row r="1231" spans="1:10" x14ac:dyDescent="0.25">
      <c r="A1231" t="s">
        <v>188</v>
      </c>
      <c r="B1231" t="s">
        <v>189</v>
      </c>
      <c r="C1231" t="s">
        <v>22</v>
      </c>
      <c r="D1231" t="s">
        <v>23</v>
      </c>
      <c r="J1231">
        <f t="shared" si="19"/>
        <v>0</v>
      </c>
    </row>
    <row r="1232" spans="1:10" x14ac:dyDescent="0.25">
      <c r="A1232" t="s">
        <v>188</v>
      </c>
      <c r="B1232" t="s">
        <v>189</v>
      </c>
      <c r="C1232" t="s">
        <v>24</v>
      </c>
      <c r="D1232" t="s">
        <v>25</v>
      </c>
      <c r="J1232">
        <f t="shared" si="19"/>
        <v>0</v>
      </c>
    </row>
    <row r="1233" spans="1:10" x14ac:dyDescent="0.25">
      <c r="A1233" t="s">
        <v>188</v>
      </c>
      <c r="B1233" t="s">
        <v>189</v>
      </c>
      <c r="C1233" t="s">
        <v>26</v>
      </c>
      <c r="D1233" t="s">
        <v>27</v>
      </c>
      <c r="J1233">
        <f t="shared" si="19"/>
        <v>0</v>
      </c>
    </row>
    <row r="1234" spans="1:10" x14ac:dyDescent="0.25">
      <c r="A1234" t="s">
        <v>188</v>
      </c>
      <c r="B1234" t="s">
        <v>189</v>
      </c>
      <c r="C1234" t="s">
        <v>28</v>
      </c>
      <c r="D1234" t="s">
        <v>29</v>
      </c>
      <c r="J1234">
        <f t="shared" si="19"/>
        <v>0</v>
      </c>
    </row>
    <row r="1235" spans="1:10" x14ac:dyDescent="0.25">
      <c r="A1235" t="s">
        <v>188</v>
      </c>
      <c r="B1235" t="s">
        <v>189</v>
      </c>
      <c r="C1235" t="s">
        <v>30</v>
      </c>
      <c r="D1235" t="s">
        <v>31</v>
      </c>
      <c r="J1235">
        <f t="shared" si="19"/>
        <v>0</v>
      </c>
    </row>
    <row r="1236" spans="1:10" x14ac:dyDescent="0.25">
      <c r="A1236" t="s">
        <v>188</v>
      </c>
      <c r="B1236" t="s">
        <v>189</v>
      </c>
      <c r="C1236" t="s">
        <v>32</v>
      </c>
      <c r="D1236" t="s">
        <v>33</v>
      </c>
      <c r="E1236">
        <v>10</v>
      </c>
      <c r="F1236">
        <v>10</v>
      </c>
      <c r="G1236">
        <v>10</v>
      </c>
      <c r="H1236">
        <v>10</v>
      </c>
      <c r="I1236">
        <v>10</v>
      </c>
      <c r="J1236">
        <f t="shared" si="19"/>
        <v>10</v>
      </c>
    </row>
    <row r="1237" spans="1:10" x14ac:dyDescent="0.25">
      <c r="A1237" t="s">
        <v>188</v>
      </c>
      <c r="B1237" t="s">
        <v>189</v>
      </c>
      <c r="C1237" t="s">
        <v>34</v>
      </c>
      <c r="D1237" t="s">
        <v>35</v>
      </c>
      <c r="E1237">
        <v>72.857139587402301</v>
      </c>
      <c r="F1237">
        <v>77.619049072265597</v>
      </c>
      <c r="G1237">
        <v>79.047622680664105</v>
      </c>
      <c r="H1237">
        <v>79.716979980468807</v>
      </c>
      <c r="I1237">
        <v>79.245285034179702</v>
      </c>
      <c r="J1237">
        <f t="shared" si="19"/>
        <v>79.716979980468807</v>
      </c>
    </row>
    <row r="1238" spans="1:10" x14ac:dyDescent="0.25">
      <c r="A1238" t="s">
        <v>188</v>
      </c>
      <c r="B1238" t="s">
        <v>189</v>
      </c>
      <c r="C1238" t="s">
        <v>36</v>
      </c>
      <c r="D1238" t="s">
        <v>37</v>
      </c>
      <c r="J1238">
        <f t="shared" si="19"/>
        <v>0</v>
      </c>
    </row>
    <row r="1239" spans="1:10" x14ac:dyDescent="0.25">
      <c r="A1239" t="s">
        <v>188</v>
      </c>
      <c r="B1239" t="s">
        <v>189</v>
      </c>
      <c r="C1239" t="s">
        <v>38</v>
      </c>
      <c r="D1239" t="s">
        <v>39</v>
      </c>
      <c r="J1239">
        <f t="shared" si="19"/>
        <v>0</v>
      </c>
    </row>
    <row r="1240" spans="1:10" x14ac:dyDescent="0.25">
      <c r="A1240" t="s">
        <v>188</v>
      </c>
      <c r="B1240" t="s">
        <v>189</v>
      </c>
      <c r="C1240" t="s">
        <v>40</v>
      </c>
      <c r="D1240" t="s">
        <v>41</v>
      </c>
      <c r="E1240">
        <v>95.786131999999995</v>
      </c>
      <c r="F1240">
        <v>95.794194000000005</v>
      </c>
      <c r="G1240">
        <v>95.262365000000003</v>
      </c>
      <c r="H1240">
        <v>95.396242999999998</v>
      </c>
      <c r="J1240">
        <f t="shared" si="19"/>
        <v>95.794194000000005</v>
      </c>
    </row>
    <row r="1241" spans="1:10" x14ac:dyDescent="0.25">
      <c r="A1241" t="s">
        <v>188</v>
      </c>
      <c r="B1241" t="s">
        <v>189</v>
      </c>
      <c r="C1241" t="s">
        <v>42</v>
      </c>
      <c r="D1241" t="s">
        <v>43</v>
      </c>
      <c r="J1241">
        <f t="shared" si="19"/>
        <v>0</v>
      </c>
    </row>
    <row r="1242" spans="1:10" x14ac:dyDescent="0.25">
      <c r="A1242" t="s">
        <v>188</v>
      </c>
      <c r="B1242" t="s">
        <v>189</v>
      </c>
      <c r="C1242" t="s">
        <v>44</v>
      </c>
      <c r="D1242" t="s">
        <v>45</v>
      </c>
      <c r="J1242">
        <f t="shared" si="19"/>
        <v>0</v>
      </c>
    </row>
    <row r="1243" spans="1:10" x14ac:dyDescent="0.25">
      <c r="A1243" t="s">
        <v>190</v>
      </c>
      <c r="B1243" t="s">
        <v>191</v>
      </c>
      <c r="C1243" t="s">
        <v>11</v>
      </c>
      <c r="D1243" t="s">
        <v>12</v>
      </c>
      <c r="G1243">
        <v>42.71</v>
      </c>
      <c r="J1243">
        <f t="shared" si="19"/>
        <v>42.71</v>
      </c>
    </row>
    <row r="1244" spans="1:10" x14ac:dyDescent="0.25">
      <c r="A1244" t="s">
        <v>190</v>
      </c>
      <c r="B1244" t="s">
        <v>191</v>
      </c>
      <c r="C1244" t="s">
        <v>14</v>
      </c>
      <c r="D1244" t="s">
        <v>15</v>
      </c>
      <c r="G1244">
        <v>38.14</v>
      </c>
      <c r="J1244">
        <f t="shared" si="19"/>
        <v>38.14</v>
      </c>
    </row>
    <row r="1245" spans="1:10" x14ac:dyDescent="0.25">
      <c r="A1245" t="s">
        <v>190</v>
      </c>
      <c r="B1245" t="s">
        <v>191</v>
      </c>
      <c r="C1245" t="s">
        <v>16</v>
      </c>
      <c r="D1245" t="s">
        <v>17</v>
      </c>
      <c r="G1245">
        <v>47.75</v>
      </c>
      <c r="J1245">
        <f t="shared" si="19"/>
        <v>47.75</v>
      </c>
    </row>
    <row r="1246" spans="1:10" x14ac:dyDescent="0.25">
      <c r="A1246" t="s">
        <v>190</v>
      </c>
      <c r="B1246" t="s">
        <v>191</v>
      </c>
      <c r="C1246" t="s">
        <v>18</v>
      </c>
      <c r="D1246" t="s">
        <v>19</v>
      </c>
      <c r="G1246">
        <v>33.090000000000003</v>
      </c>
      <c r="J1246">
        <f t="shared" si="19"/>
        <v>33.090000000000003</v>
      </c>
    </row>
    <row r="1247" spans="1:10" x14ac:dyDescent="0.25">
      <c r="A1247" t="s">
        <v>190</v>
      </c>
      <c r="B1247" t="s">
        <v>191</v>
      </c>
      <c r="C1247" t="s">
        <v>20</v>
      </c>
      <c r="D1247" t="s">
        <v>21</v>
      </c>
      <c r="G1247">
        <v>34.79</v>
      </c>
      <c r="J1247">
        <f t="shared" si="19"/>
        <v>34.79</v>
      </c>
    </row>
    <row r="1248" spans="1:10" x14ac:dyDescent="0.25">
      <c r="A1248" t="s">
        <v>190</v>
      </c>
      <c r="B1248" t="s">
        <v>191</v>
      </c>
      <c r="C1248" t="s">
        <v>22</v>
      </c>
      <c r="D1248" t="s">
        <v>23</v>
      </c>
      <c r="G1248">
        <v>33.32</v>
      </c>
      <c r="J1248">
        <f t="shared" si="19"/>
        <v>33.32</v>
      </c>
    </row>
    <row r="1249" spans="1:10" x14ac:dyDescent="0.25">
      <c r="A1249" t="s">
        <v>190</v>
      </c>
      <c r="B1249" t="s">
        <v>191</v>
      </c>
      <c r="C1249" t="s">
        <v>24</v>
      </c>
      <c r="D1249" t="s">
        <v>25</v>
      </c>
      <c r="J1249">
        <f t="shared" si="19"/>
        <v>0</v>
      </c>
    </row>
    <row r="1250" spans="1:10" x14ac:dyDescent="0.25">
      <c r="A1250" t="s">
        <v>190</v>
      </c>
      <c r="B1250" t="s">
        <v>191</v>
      </c>
      <c r="C1250" t="s">
        <v>26</v>
      </c>
      <c r="D1250" t="s">
        <v>27</v>
      </c>
      <c r="J1250">
        <f t="shared" si="19"/>
        <v>0</v>
      </c>
    </row>
    <row r="1251" spans="1:10" x14ac:dyDescent="0.25">
      <c r="A1251" t="s">
        <v>190</v>
      </c>
      <c r="B1251" t="s">
        <v>191</v>
      </c>
      <c r="C1251" t="s">
        <v>28</v>
      </c>
      <c r="D1251" t="s">
        <v>29</v>
      </c>
      <c r="E1251">
        <v>4</v>
      </c>
      <c r="J1251">
        <f t="shared" si="19"/>
        <v>4</v>
      </c>
    </row>
    <row r="1252" spans="1:10" x14ac:dyDescent="0.25">
      <c r="A1252" t="s">
        <v>190</v>
      </c>
      <c r="B1252" t="s">
        <v>191</v>
      </c>
      <c r="C1252" t="s">
        <v>30</v>
      </c>
      <c r="D1252" t="s">
        <v>31</v>
      </c>
      <c r="E1252">
        <v>44.785631789645599</v>
      </c>
      <c r="H1252">
        <v>55.599211999191198</v>
      </c>
      <c r="J1252">
        <f t="shared" si="19"/>
        <v>55.599211999191198</v>
      </c>
    </row>
    <row r="1253" spans="1:10" x14ac:dyDescent="0.25">
      <c r="A1253" t="s">
        <v>190</v>
      </c>
      <c r="B1253" t="s">
        <v>191</v>
      </c>
      <c r="C1253" t="s">
        <v>32</v>
      </c>
      <c r="D1253" t="s">
        <v>33</v>
      </c>
      <c r="E1253">
        <v>8</v>
      </c>
      <c r="F1253">
        <v>8</v>
      </c>
      <c r="G1253">
        <v>8</v>
      </c>
      <c r="H1253">
        <v>8</v>
      </c>
      <c r="I1253">
        <v>8</v>
      </c>
      <c r="J1253">
        <f t="shared" si="19"/>
        <v>8</v>
      </c>
    </row>
    <row r="1254" spans="1:10" x14ac:dyDescent="0.25">
      <c r="A1254" t="s">
        <v>190</v>
      </c>
      <c r="B1254" t="s">
        <v>191</v>
      </c>
      <c r="C1254" t="s">
        <v>34</v>
      </c>
      <c r="D1254" t="s">
        <v>35</v>
      </c>
      <c r="E1254">
        <v>25.238094329833999</v>
      </c>
      <c r="F1254">
        <v>40</v>
      </c>
      <c r="G1254">
        <v>44.285713195800803</v>
      </c>
      <c r="H1254">
        <v>30.660377502441399</v>
      </c>
      <c r="I1254">
        <v>29.716981887817401</v>
      </c>
      <c r="J1254">
        <f t="shared" si="19"/>
        <v>44.285713195800803</v>
      </c>
    </row>
    <row r="1255" spans="1:10" x14ac:dyDescent="0.25">
      <c r="A1255" t="s">
        <v>190</v>
      </c>
      <c r="B1255" t="s">
        <v>191</v>
      </c>
      <c r="C1255" t="s">
        <v>36</v>
      </c>
      <c r="D1255" t="s">
        <v>37</v>
      </c>
      <c r="E1255">
        <v>37.681762155494198</v>
      </c>
      <c r="J1255">
        <f t="shared" si="19"/>
        <v>37.681762155494198</v>
      </c>
    </row>
    <row r="1256" spans="1:10" x14ac:dyDescent="0.25">
      <c r="A1256" t="s">
        <v>190</v>
      </c>
      <c r="B1256" t="s">
        <v>191</v>
      </c>
      <c r="C1256" t="s">
        <v>38</v>
      </c>
      <c r="D1256" t="s">
        <v>39</v>
      </c>
      <c r="E1256">
        <v>0.35976837788152799</v>
      </c>
      <c r="J1256">
        <f t="shared" si="19"/>
        <v>0.35976837788152799</v>
      </c>
    </row>
    <row r="1257" spans="1:10" x14ac:dyDescent="0.25">
      <c r="A1257" t="s">
        <v>190</v>
      </c>
      <c r="B1257" t="s">
        <v>191</v>
      </c>
      <c r="C1257" t="s">
        <v>40</v>
      </c>
      <c r="D1257" t="s">
        <v>41</v>
      </c>
      <c r="E1257">
        <v>69.241253</v>
      </c>
      <c r="F1257">
        <v>69.982028</v>
      </c>
      <c r="G1257">
        <v>67.943479999999994</v>
      </c>
      <c r="H1257">
        <v>70.764169999999993</v>
      </c>
      <c r="J1257">
        <f t="shared" si="19"/>
        <v>70.764169999999993</v>
      </c>
    </row>
    <row r="1258" spans="1:10" x14ac:dyDescent="0.25">
      <c r="A1258" t="s">
        <v>190</v>
      </c>
      <c r="B1258" t="s">
        <v>191</v>
      </c>
      <c r="C1258" t="s">
        <v>42</v>
      </c>
      <c r="D1258" t="s">
        <v>43</v>
      </c>
      <c r="J1258">
        <f t="shared" si="19"/>
        <v>0</v>
      </c>
    </row>
    <row r="1259" spans="1:10" x14ac:dyDescent="0.25">
      <c r="A1259" t="s">
        <v>190</v>
      </c>
      <c r="B1259" t="s">
        <v>191</v>
      </c>
      <c r="C1259" t="s">
        <v>44</v>
      </c>
      <c r="D1259" t="s">
        <v>45</v>
      </c>
      <c r="E1259">
        <v>37</v>
      </c>
      <c r="J1259">
        <f t="shared" si="19"/>
        <v>37</v>
      </c>
    </row>
    <row r="1260" spans="1:10" x14ac:dyDescent="0.25">
      <c r="A1260" t="s">
        <v>192</v>
      </c>
      <c r="B1260" t="s">
        <v>193</v>
      </c>
      <c r="C1260" t="s">
        <v>11</v>
      </c>
      <c r="D1260" t="s">
        <v>12</v>
      </c>
      <c r="G1260">
        <v>88.37</v>
      </c>
      <c r="J1260">
        <f t="shared" si="19"/>
        <v>88.37</v>
      </c>
    </row>
    <row r="1261" spans="1:10" x14ac:dyDescent="0.25">
      <c r="A1261" t="s">
        <v>192</v>
      </c>
      <c r="B1261" t="s">
        <v>193</v>
      </c>
      <c r="C1261" t="s">
        <v>14</v>
      </c>
      <c r="D1261" t="s">
        <v>15</v>
      </c>
      <c r="G1261">
        <v>87.51</v>
      </c>
      <c r="J1261">
        <f t="shared" si="19"/>
        <v>87.51</v>
      </c>
    </row>
    <row r="1262" spans="1:10" x14ac:dyDescent="0.25">
      <c r="A1262" t="s">
        <v>192</v>
      </c>
      <c r="B1262" t="s">
        <v>193</v>
      </c>
      <c r="C1262" t="s">
        <v>16</v>
      </c>
      <c r="D1262" t="s">
        <v>17</v>
      </c>
      <c r="G1262">
        <v>89.23</v>
      </c>
      <c r="J1262">
        <f t="shared" si="19"/>
        <v>89.23</v>
      </c>
    </row>
    <row r="1263" spans="1:10" x14ac:dyDescent="0.25">
      <c r="A1263" t="s">
        <v>192</v>
      </c>
      <c r="B1263" t="s">
        <v>193</v>
      </c>
      <c r="C1263" t="s">
        <v>18</v>
      </c>
      <c r="D1263" t="s">
        <v>19</v>
      </c>
      <c r="G1263">
        <v>82.98</v>
      </c>
      <c r="J1263">
        <f t="shared" si="19"/>
        <v>82.98</v>
      </c>
    </row>
    <row r="1264" spans="1:10" x14ac:dyDescent="0.25">
      <c r="A1264" t="s">
        <v>192</v>
      </c>
      <c r="B1264" t="s">
        <v>193</v>
      </c>
      <c r="C1264" t="s">
        <v>20</v>
      </c>
      <c r="D1264" t="s">
        <v>21</v>
      </c>
      <c r="G1264">
        <v>74.27</v>
      </c>
      <c r="J1264">
        <f t="shared" si="19"/>
        <v>74.27</v>
      </c>
    </row>
    <row r="1265" spans="1:10" x14ac:dyDescent="0.25">
      <c r="A1265" t="s">
        <v>192</v>
      </c>
      <c r="B1265" t="s">
        <v>193</v>
      </c>
      <c r="C1265" t="s">
        <v>22</v>
      </c>
      <c r="D1265" t="s">
        <v>23</v>
      </c>
      <c r="G1265">
        <v>71.67</v>
      </c>
      <c r="J1265">
        <f t="shared" si="19"/>
        <v>71.67</v>
      </c>
    </row>
    <row r="1266" spans="1:10" x14ac:dyDescent="0.25">
      <c r="A1266" t="s">
        <v>192</v>
      </c>
      <c r="B1266" t="s">
        <v>193</v>
      </c>
      <c r="C1266" t="s">
        <v>24</v>
      </c>
      <c r="D1266" t="s">
        <v>25</v>
      </c>
      <c r="J1266">
        <f t="shared" si="19"/>
        <v>0</v>
      </c>
    </row>
    <row r="1267" spans="1:10" x14ac:dyDescent="0.25">
      <c r="A1267" t="s">
        <v>192</v>
      </c>
      <c r="B1267" t="s">
        <v>193</v>
      </c>
      <c r="C1267" t="s">
        <v>26</v>
      </c>
      <c r="D1267" t="s">
        <v>27</v>
      </c>
      <c r="E1267">
        <v>0.4</v>
      </c>
      <c r="J1267">
        <f t="shared" si="19"/>
        <v>0.4</v>
      </c>
    </row>
    <row r="1268" spans="1:10" x14ac:dyDescent="0.25">
      <c r="A1268" t="s">
        <v>192</v>
      </c>
      <c r="B1268" t="s">
        <v>193</v>
      </c>
      <c r="C1268" t="s">
        <v>28</v>
      </c>
      <c r="D1268" t="s">
        <v>29</v>
      </c>
      <c r="E1268">
        <v>10</v>
      </c>
      <c r="J1268">
        <f t="shared" si="19"/>
        <v>10</v>
      </c>
    </row>
    <row r="1269" spans="1:10" x14ac:dyDescent="0.25">
      <c r="A1269" t="s">
        <v>192</v>
      </c>
      <c r="B1269" t="s">
        <v>193</v>
      </c>
      <c r="C1269" t="s">
        <v>30</v>
      </c>
      <c r="D1269" t="s">
        <v>31</v>
      </c>
      <c r="E1269">
        <v>52.421350211972701</v>
      </c>
      <c r="F1269">
        <v>62.006721508673799</v>
      </c>
      <c r="G1269">
        <v>63.266836673295103</v>
      </c>
      <c r="H1269">
        <v>60.181122506952299</v>
      </c>
      <c r="J1269">
        <f t="shared" si="19"/>
        <v>63.266836673295103</v>
      </c>
    </row>
    <row r="1270" spans="1:10" x14ac:dyDescent="0.25">
      <c r="A1270" t="s">
        <v>192</v>
      </c>
      <c r="B1270" t="s">
        <v>193</v>
      </c>
      <c r="C1270" t="s">
        <v>32</v>
      </c>
      <c r="D1270" t="s">
        <v>33</v>
      </c>
      <c r="E1270">
        <v>6</v>
      </c>
      <c r="F1270">
        <v>6</v>
      </c>
      <c r="G1270">
        <v>6</v>
      </c>
      <c r="H1270">
        <v>6</v>
      </c>
      <c r="I1270">
        <v>6</v>
      </c>
      <c r="J1270">
        <f t="shared" si="19"/>
        <v>6</v>
      </c>
    </row>
    <row r="1271" spans="1:10" x14ac:dyDescent="0.25">
      <c r="A1271" t="s">
        <v>192</v>
      </c>
      <c r="B1271" t="s">
        <v>193</v>
      </c>
      <c r="C1271" t="s">
        <v>34</v>
      </c>
      <c r="D1271" t="s">
        <v>35</v>
      </c>
      <c r="E1271">
        <v>60.952381134033203</v>
      </c>
      <c r="F1271">
        <v>60.476188659667997</v>
      </c>
      <c r="G1271">
        <v>59.047618865966797</v>
      </c>
      <c r="H1271">
        <v>62.264152526855497</v>
      </c>
      <c r="I1271">
        <v>61.792453765869098</v>
      </c>
      <c r="J1271">
        <f t="shared" si="19"/>
        <v>62.264152526855497</v>
      </c>
    </row>
    <row r="1272" spans="1:10" x14ac:dyDescent="0.25">
      <c r="A1272" t="s">
        <v>192</v>
      </c>
      <c r="B1272" t="s">
        <v>193</v>
      </c>
      <c r="C1272" t="s">
        <v>36</v>
      </c>
      <c r="D1272" t="s">
        <v>37</v>
      </c>
      <c r="J1272">
        <f t="shared" si="19"/>
        <v>0</v>
      </c>
    </row>
    <row r="1273" spans="1:10" x14ac:dyDescent="0.25">
      <c r="A1273" t="s">
        <v>192</v>
      </c>
      <c r="B1273" t="s">
        <v>193</v>
      </c>
      <c r="C1273" t="s">
        <v>38</v>
      </c>
      <c r="D1273" t="s">
        <v>39</v>
      </c>
      <c r="J1273">
        <f t="shared" si="19"/>
        <v>0</v>
      </c>
    </row>
    <row r="1274" spans="1:10" x14ac:dyDescent="0.25">
      <c r="A1274" t="s">
        <v>192</v>
      </c>
      <c r="B1274" t="s">
        <v>193</v>
      </c>
      <c r="C1274" t="s">
        <v>40</v>
      </c>
      <c r="D1274" t="s">
        <v>41</v>
      </c>
      <c r="E1274">
        <v>85.829278000000002</v>
      </c>
      <c r="F1274">
        <v>86.017691999999997</v>
      </c>
      <c r="G1274">
        <v>82.986099999999993</v>
      </c>
      <c r="H1274">
        <v>85.117692000000005</v>
      </c>
      <c r="J1274">
        <f t="shared" si="19"/>
        <v>86.017691999999997</v>
      </c>
    </row>
    <row r="1275" spans="1:10" x14ac:dyDescent="0.25">
      <c r="A1275" t="s">
        <v>192</v>
      </c>
      <c r="B1275" t="s">
        <v>193</v>
      </c>
      <c r="C1275" t="s">
        <v>42</v>
      </c>
      <c r="D1275" t="s">
        <v>43</v>
      </c>
      <c r="J1275">
        <f t="shared" si="19"/>
        <v>0</v>
      </c>
    </row>
    <row r="1276" spans="1:10" x14ac:dyDescent="0.25">
      <c r="A1276" t="s">
        <v>192</v>
      </c>
      <c r="B1276" t="s">
        <v>193</v>
      </c>
      <c r="C1276" t="s">
        <v>44</v>
      </c>
      <c r="D1276" t="s">
        <v>45</v>
      </c>
      <c r="E1276">
        <v>17.5</v>
      </c>
      <c r="J1276">
        <f t="shared" si="19"/>
        <v>17.5</v>
      </c>
    </row>
    <row r="1277" spans="1:10" x14ac:dyDescent="0.25">
      <c r="A1277" t="s">
        <v>194</v>
      </c>
      <c r="B1277" t="s">
        <v>195</v>
      </c>
      <c r="C1277" t="s">
        <v>11</v>
      </c>
      <c r="D1277" t="s">
        <v>12</v>
      </c>
      <c r="G1277">
        <v>96.45</v>
      </c>
      <c r="J1277">
        <f t="shared" si="19"/>
        <v>96.45</v>
      </c>
    </row>
    <row r="1278" spans="1:10" x14ac:dyDescent="0.25">
      <c r="A1278" t="s">
        <v>194</v>
      </c>
      <c r="B1278" t="s">
        <v>195</v>
      </c>
      <c r="C1278" t="s">
        <v>14</v>
      </c>
      <c r="D1278" t="s">
        <v>15</v>
      </c>
      <c r="G1278">
        <v>95.33</v>
      </c>
      <c r="J1278">
        <f t="shared" si="19"/>
        <v>95.33</v>
      </c>
    </row>
    <row r="1279" spans="1:10" x14ac:dyDescent="0.25">
      <c r="A1279" t="s">
        <v>194</v>
      </c>
      <c r="B1279" t="s">
        <v>195</v>
      </c>
      <c r="C1279" t="s">
        <v>16</v>
      </c>
      <c r="D1279" t="s">
        <v>17</v>
      </c>
      <c r="G1279">
        <v>97.57</v>
      </c>
      <c r="J1279">
        <f t="shared" si="19"/>
        <v>97.57</v>
      </c>
    </row>
    <row r="1280" spans="1:10" x14ac:dyDescent="0.25">
      <c r="A1280" t="s">
        <v>194</v>
      </c>
      <c r="B1280" t="s">
        <v>195</v>
      </c>
      <c r="C1280" t="s">
        <v>18</v>
      </c>
      <c r="D1280" t="s">
        <v>19</v>
      </c>
      <c r="G1280">
        <v>93.35</v>
      </c>
      <c r="J1280">
        <f t="shared" si="19"/>
        <v>93.35</v>
      </c>
    </row>
    <row r="1281" spans="1:10" x14ac:dyDescent="0.25">
      <c r="A1281" t="s">
        <v>194</v>
      </c>
      <c r="B1281" t="s">
        <v>195</v>
      </c>
      <c r="C1281" t="s">
        <v>20</v>
      </c>
      <c r="D1281" t="s">
        <v>21</v>
      </c>
      <c r="G1281">
        <v>94.44</v>
      </c>
      <c r="J1281">
        <f t="shared" si="19"/>
        <v>94.44</v>
      </c>
    </row>
    <row r="1282" spans="1:10" x14ac:dyDescent="0.25">
      <c r="A1282" t="s">
        <v>194</v>
      </c>
      <c r="B1282" t="s">
        <v>195</v>
      </c>
      <c r="C1282" t="s">
        <v>22</v>
      </c>
      <c r="D1282" t="s">
        <v>23</v>
      </c>
      <c r="G1282">
        <v>93.37</v>
      </c>
      <c r="J1282">
        <f t="shared" si="19"/>
        <v>93.37</v>
      </c>
    </row>
    <row r="1283" spans="1:10" x14ac:dyDescent="0.25">
      <c r="A1283" t="s">
        <v>194</v>
      </c>
      <c r="B1283" t="s">
        <v>195</v>
      </c>
      <c r="C1283" t="s">
        <v>24</v>
      </c>
      <c r="D1283" t="s">
        <v>25</v>
      </c>
      <c r="J1283">
        <f t="shared" ref="J1283:J1346" si="20">MAX(E1283:I1283)</f>
        <v>0</v>
      </c>
    </row>
    <row r="1284" spans="1:10" x14ac:dyDescent="0.25">
      <c r="A1284" t="s">
        <v>194</v>
      </c>
      <c r="B1284" t="s">
        <v>195</v>
      </c>
      <c r="C1284" t="s">
        <v>26</v>
      </c>
      <c r="D1284" t="s">
        <v>27</v>
      </c>
      <c r="E1284">
        <v>2.4</v>
      </c>
      <c r="J1284">
        <f t="shared" si="20"/>
        <v>2.4</v>
      </c>
    </row>
    <row r="1285" spans="1:10" x14ac:dyDescent="0.25">
      <c r="A1285" t="s">
        <v>194</v>
      </c>
      <c r="B1285" t="s">
        <v>195</v>
      </c>
      <c r="C1285" t="s">
        <v>28</v>
      </c>
      <c r="D1285" t="s">
        <v>29</v>
      </c>
      <c r="E1285">
        <v>3</v>
      </c>
      <c r="J1285">
        <f t="shared" si="20"/>
        <v>3</v>
      </c>
    </row>
    <row r="1286" spans="1:10" x14ac:dyDescent="0.25">
      <c r="A1286" t="s">
        <v>194</v>
      </c>
      <c r="B1286" t="s">
        <v>195</v>
      </c>
      <c r="C1286" t="s">
        <v>30</v>
      </c>
      <c r="D1286" t="s">
        <v>31</v>
      </c>
      <c r="J1286">
        <f t="shared" si="20"/>
        <v>0</v>
      </c>
    </row>
    <row r="1287" spans="1:10" x14ac:dyDescent="0.25">
      <c r="A1287" t="s">
        <v>194</v>
      </c>
      <c r="B1287" t="s">
        <v>195</v>
      </c>
      <c r="C1287" t="s">
        <v>32</v>
      </c>
      <c r="D1287" t="s">
        <v>33</v>
      </c>
      <c r="E1287">
        <v>11</v>
      </c>
      <c r="F1287">
        <v>11</v>
      </c>
      <c r="G1287">
        <v>11</v>
      </c>
      <c r="H1287">
        <v>11</v>
      </c>
      <c r="I1287">
        <v>11</v>
      </c>
      <c r="J1287">
        <f t="shared" si="20"/>
        <v>11</v>
      </c>
    </row>
    <row r="1288" spans="1:10" x14ac:dyDescent="0.25">
      <c r="A1288" t="s">
        <v>194</v>
      </c>
      <c r="B1288" t="s">
        <v>195</v>
      </c>
      <c r="C1288" t="s">
        <v>34</v>
      </c>
      <c r="D1288" t="s">
        <v>35</v>
      </c>
      <c r="E1288">
        <v>60</v>
      </c>
      <c r="F1288">
        <v>62.857143402099602</v>
      </c>
      <c r="G1288">
        <v>62.857143402099602</v>
      </c>
      <c r="H1288">
        <v>61.792453765869098</v>
      </c>
      <c r="I1288">
        <v>58.490566253662102</v>
      </c>
      <c r="J1288">
        <f t="shared" si="20"/>
        <v>62.857143402099602</v>
      </c>
    </row>
    <row r="1289" spans="1:10" x14ac:dyDescent="0.25">
      <c r="A1289" t="s">
        <v>194</v>
      </c>
      <c r="B1289" t="s">
        <v>195</v>
      </c>
      <c r="C1289" t="s">
        <v>36</v>
      </c>
      <c r="D1289" t="s">
        <v>37</v>
      </c>
      <c r="J1289">
        <f t="shared" si="20"/>
        <v>0</v>
      </c>
    </row>
    <row r="1290" spans="1:10" x14ac:dyDescent="0.25">
      <c r="A1290" t="s">
        <v>194</v>
      </c>
      <c r="B1290" t="s">
        <v>195</v>
      </c>
      <c r="C1290" t="s">
        <v>38</v>
      </c>
      <c r="D1290" t="s">
        <v>39</v>
      </c>
      <c r="J1290">
        <f t="shared" si="20"/>
        <v>0</v>
      </c>
    </row>
    <row r="1291" spans="1:10" x14ac:dyDescent="0.25">
      <c r="A1291" t="s">
        <v>194</v>
      </c>
      <c r="B1291" t="s">
        <v>195</v>
      </c>
      <c r="C1291" t="s">
        <v>40</v>
      </c>
      <c r="D1291" t="s">
        <v>41</v>
      </c>
      <c r="E1291">
        <v>92.636471</v>
      </c>
      <c r="F1291">
        <v>92.807496</v>
      </c>
      <c r="G1291">
        <v>92.697999999999993</v>
      </c>
      <c r="H1291">
        <v>92.404497000000006</v>
      </c>
      <c r="J1291">
        <f t="shared" si="20"/>
        <v>92.807496</v>
      </c>
    </row>
    <row r="1292" spans="1:10" x14ac:dyDescent="0.25">
      <c r="A1292" t="s">
        <v>194</v>
      </c>
      <c r="B1292" t="s">
        <v>195</v>
      </c>
      <c r="C1292" t="s">
        <v>42</v>
      </c>
      <c r="D1292" t="s">
        <v>43</v>
      </c>
      <c r="J1292">
        <f t="shared" si="20"/>
        <v>0</v>
      </c>
    </row>
    <row r="1293" spans="1:10" x14ac:dyDescent="0.25">
      <c r="A1293" t="s">
        <v>194</v>
      </c>
      <c r="B1293" t="s">
        <v>195</v>
      </c>
      <c r="C1293" t="s">
        <v>44</v>
      </c>
      <c r="D1293" t="s">
        <v>45</v>
      </c>
      <c r="E1293">
        <v>20.5</v>
      </c>
      <c r="J1293">
        <f t="shared" si="20"/>
        <v>20.5</v>
      </c>
    </row>
    <row r="1294" spans="1:10" x14ac:dyDescent="0.25">
      <c r="A1294" t="s">
        <v>196</v>
      </c>
      <c r="B1294" t="s">
        <v>197</v>
      </c>
      <c r="C1294" t="s">
        <v>11</v>
      </c>
      <c r="D1294" t="s">
        <v>12</v>
      </c>
      <c r="G1294">
        <v>90.53</v>
      </c>
      <c r="J1294">
        <f t="shared" si="20"/>
        <v>90.53</v>
      </c>
    </row>
    <row r="1295" spans="1:10" x14ac:dyDescent="0.25">
      <c r="A1295" t="s">
        <v>196</v>
      </c>
      <c r="B1295" t="s">
        <v>197</v>
      </c>
      <c r="C1295" t="s">
        <v>14</v>
      </c>
      <c r="D1295" t="s">
        <v>15</v>
      </c>
      <c r="G1295">
        <v>89.4</v>
      </c>
      <c r="J1295">
        <f t="shared" si="20"/>
        <v>89.4</v>
      </c>
    </row>
    <row r="1296" spans="1:10" x14ac:dyDescent="0.25">
      <c r="A1296" t="s">
        <v>196</v>
      </c>
      <c r="B1296" t="s">
        <v>197</v>
      </c>
      <c r="C1296" t="s">
        <v>16</v>
      </c>
      <c r="D1296" t="s">
        <v>17</v>
      </c>
      <c r="G1296">
        <v>91.74</v>
      </c>
      <c r="J1296">
        <f t="shared" si="20"/>
        <v>91.74</v>
      </c>
    </row>
    <row r="1297" spans="1:10" x14ac:dyDescent="0.25">
      <c r="A1297" t="s">
        <v>196</v>
      </c>
      <c r="B1297" t="s">
        <v>197</v>
      </c>
      <c r="C1297" t="s">
        <v>18</v>
      </c>
      <c r="D1297" t="s">
        <v>19</v>
      </c>
      <c r="G1297">
        <v>90.55</v>
      </c>
      <c r="J1297">
        <f t="shared" si="20"/>
        <v>90.55</v>
      </c>
    </row>
    <row r="1298" spans="1:10" x14ac:dyDescent="0.25">
      <c r="A1298" t="s">
        <v>196</v>
      </c>
      <c r="B1298" t="s">
        <v>197</v>
      </c>
      <c r="C1298" t="s">
        <v>20</v>
      </c>
      <c r="D1298" t="s">
        <v>21</v>
      </c>
      <c r="G1298">
        <v>83.62</v>
      </c>
      <c r="J1298">
        <f t="shared" si="20"/>
        <v>83.62</v>
      </c>
    </row>
    <row r="1299" spans="1:10" x14ac:dyDescent="0.25">
      <c r="A1299" t="s">
        <v>196</v>
      </c>
      <c r="B1299" t="s">
        <v>197</v>
      </c>
      <c r="C1299" t="s">
        <v>22</v>
      </c>
      <c r="D1299" t="s">
        <v>23</v>
      </c>
      <c r="G1299">
        <v>85.18</v>
      </c>
      <c r="J1299">
        <f t="shared" si="20"/>
        <v>85.18</v>
      </c>
    </row>
    <row r="1300" spans="1:10" x14ac:dyDescent="0.25">
      <c r="A1300" t="s">
        <v>196</v>
      </c>
      <c r="B1300" t="s">
        <v>197</v>
      </c>
      <c r="C1300" t="s">
        <v>24</v>
      </c>
      <c r="D1300" t="s">
        <v>25</v>
      </c>
      <c r="J1300">
        <f t="shared" si="20"/>
        <v>0</v>
      </c>
    </row>
    <row r="1301" spans="1:10" x14ac:dyDescent="0.25">
      <c r="A1301" t="s">
        <v>196</v>
      </c>
      <c r="B1301" t="s">
        <v>197</v>
      </c>
      <c r="C1301" t="s">
        <v>26</v>
      </c>
      <c r="D1301" t="s">
        <v>27</v>
      </c>
      <c r="I1301">
        <v>5.7</v>
      </c>
      <c r="J1301">
        <f t="shared" si="20"/>
        <v>5.7</v>
      </c>
    </row>
    <row r="1302" spans="1:10" x14ac:dyDescent="0.25">
      <c r="A1302" t="s">
        <v>196</v>
      </c>
      <c r="B1302" t="s">
        <v>197</v>
      </c>
      <c r="C1302" t="s">
        <v>28</v>
      </c>
      <c r="D1302" t="s">
        <v>29</v>
      </c>
      <c r="E1302">
        <v>7</v>
      </c>
      <c r="J1302">
        <f t="shared" si="20"/>
        <v>7</v>
      </c>
    </row>
    <row r="1303" spans="1:10" x14ac:dyDescent="0.25">
      <c r="A1303" t="s">
        <v>196</v>
      </c>
      <c r="B1303" t="s">
        <v>197</v>
      </c>
      <c r="C1303" t="s">
        <v>30</v>
      </c>
      <c r="D1303" t="s">
        <v>31</v>
      </c>
      <c r="E1303">
        <v>57.961660431002798</v>
      </c>
      <c r="J1303">
        <f t="shared" si="20"/>
        <v>57.961660431002798</v>
      </c>
    </row>
    <row r="1304" spans="1:10" x14ac:dyDescent="0.25">
      <c r="A1304" t="s">
        <v>196</v>
      </c>
      <c r="B1304" t="s">
        <v>197</v>
      </c>
      <c r="C1304" t="s">
        <v>32</v>
      </c>
      <c r="D1304" t="s">
        <v>33</v>
      </c>
      <c r="E1304">
        <v>11</v>
      </c>
      <c r="F1304">
        <v>11</v>
      </c>
      <c r="G1304">
        <v>11</v>
      </c>
      <c r="H1304">
        <v>12</v>
      </c>
      <c r="I1304">
        <v>12</v>
      </c>
      <c r="J1304">
        <f t="shared" si="20"/>
        <v>12</v>
      </c>
    </row>
    <row r="1305" spans="1:10" x14ac:dyDescent="0.25">
      <c r="A1305" t="s">
        <v>196</v>
      </c>
      <c r="B1305" t="s">
        <v>197</v>
      </c>
      <c r="C1305" t="s">
        <v>34</v>
      </c>
      <c r="D1305" t="s">
        <v>35</v>
      </c>
      <c r="E1305">
        <v>60.476188659667997</v>
      </c>
      <c r="F1305">
        <v>65.238098144531193</v>
      </c>
      <c r="G1305">
        <v>65.238098144531193</v>
      </c>
      <c r="H1305">
        <v>65.5660400390625</v>
      </c>
      <c r="I1305">
        <v>65.5660400390625</v>
      </c>
      <c r="J1305">
        <f t="shared" si="20"/>
        <v>65.5660400390625</v>
      </c>
    </row>
    <row r="1306" spans="1:10" x14ac:dyDescent="0.25">
      <c r="A1306" t="s">
        <v>196</v>
      </c>
      <c r="B1306" t="s">
        <v>197</v>
      </c>
      <c r="C1306" t="s">
        <v>36</v>
      </c>
      <c r="D1306" t="s">
        <v>37</v>
      </c>
      <c r="J1306">
        <f t="shared" si="20"/>
        <v>0</v>
      </c>
    </row>
    <row r="1307" spans="1:10" x14ac:dyDescent="0.25">
      <c r="A1307" t="s">
        <v>196</v>
      </c>
      <c r="B1307" t="s">
        <v>197</v>
      </c>
      <c r="C1307" t="s">
        <v>38</v>
      </c>
      <c r="D1307" t="s">
        <v>39</v>
      </c>
      <c r="J1307">
        <f t="shared" si="20"/>
        <v>0</v>
      </c>
    </row>
    <row r="1308" spans="1:10" x14ac:dyDescent="0.25">
      <c r="A1308" t="s">
        <v>196</v>
      </c>
      <c r="B1308" t="s">
        <v>197</v>
      </c>
      <c r="C1308" t="s">
        <v>40</v>
      </c>
      <c r="D1308" t="s">
        <v>41</v>
      </c>
      <c r="E1308">
        <v>83.894411000000005</v>
      </c>
      <c r="F1308">
        <v>85.121872999999994</v>
      </c>
      <c r="G1308">
        <v>82.574545000000001</v>
      </c>
      <c r="H1308">
        <v>83.647379000000001</v>
      </c>
      <c r="J1308">
        <f t="shared" si="20"/>
        <v>85.121872999999994</v>
      </c>
    </row>
    <row r="1309" spans="1:10" x14ac:dyDescent="0.25">
      <c r="A1309" t="s">
        <v>196</v>
      </c>
      <c r="B1309" t="s">
        <v>197</v>
      </c>
      <c r="C1309" t="s">
        <v>42</v>
      </c>
      <c r="D1309" t="s">
        <v>43</v>
      </c>
      <c r="J1309">
        <f t="shared" si="20"/>
        <v>0</v>
      </c>
    </row>
    <row r="1310" spans="1:10" x14ac:dyDescent="0.25">
      <c r="A1310" t="s">
        <v>196</v>
      </c>
      <c r="B1310" t="s">
        <v>197</v>
      </c>
      <c r="C1310" t="s">
        <v>44</v>
      </c>
      <c r="D1310" t="s">
        <v>45</v>
      </c>
      <c r="E1310">
        <v>4.5</v>
      </c>
      <c r="J1310">
        <f t="shared" si="20"/>
        <v>4.5</v>
      </c>
    </row>
    <row r="1311" spans="1:10" x14ac:dyDescent="0.25">
      <c r="A1311" t="s">
        <v>198</v>
      </c>
      <c r="B1311" t="s">
        <v>199</v>
      </c>
      <c r="C1311" t="s">
        <v>11</v>
      </c>
      <c r="D1311" t="s">
        <v>12</v>
      </c>
      <c r="H1311">
        <v>48.97</v>
      </c>
      <c r="J1311">
        <f t="shared" si="20"/>
        <v>48.97</v>
      </c>
    </row>
    <row r="1312" spans="1:10" x14ac:dyDescent="0.25">
      <c r="A1312" t="s">
        <v>198</v>
      </c>
      <c r="B1312" t="s">
        <v>199</v>
      </c>
      <c r="C1312" t="s">
        <v>14</v>
      </c>
      <c r="D1312" t="s">
        <v>15</v>
      </c>
      <c r="H1312">
        <v>42.3</v>
      </c>
      <c r="J1312">
        <f t="shared" si="20"/>
        <v>42.3</v>
      </c>
    </row>
    <row r="1313" spans="1:10" x14ac:dyDescent="0.25">
      <c r="A1313" t="s">
        <v>198</v>
      </c>
      <c r="B1313" t="s">
        <v>199</v>
      </c>
      <c r="C1313" t="s">
        <v>16</v>
      </c>
      <c r="D1313" t="s">
        <v>17</v>
      </c>
      <c r="H1313">
        <v>56.27</v>
      </c>
      <c r="J1313">
        <f t="shared" si="20"/>
        <v>56.27</v>
      </c>
    </row>
    <row r="1314" spans="1:10" x14ac:dyDescent="0.25">
      <c r="A1314" t="s">
        <v>198</v>
      </c>
      <c r="B1314" t="s">
        <v>199</v>
      </c>
      <c r="C1314" t="s">
        <v>18</v>
      </c>
      <c r="D1314" t="s">
        <v>19</v>
      </c>
      <c r="H1314">
        <v>32.07</v>
      </c>
      <c r="J1314">
        <f t="shared" si="20"/>
        <v>32.07</v>
      </c>
    </row>
    <row r="1315" spans="1:10" x14ac:dyDescent="0.25">
      <c r="A1315" t="s">
        <v>198</v>
      </c>
      <c r="B1315" t="s">
        <v>199</v>
      </c>
      <c r="C1315" t="s">
        <v>20</v>
      </c>
      <c r="D1315" t="s">
        <v>21</v>
      </c>
      <c r="H1315">
        <v>50.04</v>
      </c>
      <c r="J1315">
        <f t="shared" si="20"/>
        <v>50.04</v>
      </c>
    </row>
    <row r="1316" spans="1:10" x14ac:dyDescent="0.25">
      <c r="A1316" t="s">
        <v>198</v>
      </c>
      <c r="B1316" t="s">
        <v>199</v>
      </c>
      <c r="C1316" t="s">
        <v>22</v>
      </c>
      <c r="D1316" t="s">
        <v>23</v>
      </c>
      <c r="H1316">
        <v>31.79</v>
      </c>
      <c r="J1316">
        <f t="shared" si="20"/>
        <v>31.79</v>
      </c>
    </row>
    <row r="1317" spans="1:10" x14ac:dyDescent="0.25">
      <c r="A1317" t="s">
        <v>198</v>
      </c>
      <c r="B1317" t="s">
        <v>199</v>
      </c>
      <c r="C1317" t="s">
        <v>24</v>
      </c>
      <c r="D1317" t="s">
        <v>25</v>
      </c>
      <c r="J1317">
        <f t="shared" si="20"/>
        <v>0</v>
      </c>
    </row>
    <row r="1318" spans="1:10" x14ac:dyDescent="0.25">
      <c r="A1318" t="s">
        <v>198</v>
      </c>
      <c r="B1318" t="s">
        <v>199</v>
      </c>
      <c r="C1318" t="s">
        <v>26</v>
      </c>
      <c r="D1318" t="s">
        <v>27</v>
      </c>
      <c r="I1318">
        <v>15.8</v>
      </c>
      <c r="J1318">
        <f t="shared" si="20"/>
        <v>15.8</v>
      </c>
    </row>
    <row r="1319" spans="1:10" x14ac:dyDescent="0.25">
      <c r="A1319" t="s">
        <v>198</v>
      </c>
      <c r="B1319" t="s">
        <v>199</v>
      </c>
      <c r="C1319" t="s">
        <v>28</v>
      </c>
      <c r="D1319" t="s">
        <v>29</v>
      </c>
      <c r="E1319">
        <v>8</v>
      </c>
      <c r="J1319">
        <f t="shared" si="20"/>
        <v>8</v>
      </c>
    </row>
    <row r="1320" spans="1:10" x14ac:dyDescent="0.25">
      <c r="A1320" t="s">
        <v>198</v>
      </c>
      <c r="B1320" t="s">
        <v>199</v>
      </c>
      <c r="C1320" t="s">
        <v>30</v>
      </c>
      <c r="D1320" t="s">
        <v>31</v>
      </c>
      <c r="E1320">
        <v>41.327394069303999</v>
      </c>
      <c r="F1320">
        <v>45.837346416921299</v>
      </c>
      <c r="G1320">
        <v>44.860955798096398</v>
      </c>
      <c r="H1320">
        <v>44.048172846775103</v>
      </c>
      <c r="I1320">
        <v>45.261391927732298</v>
      </c>
      <c r="J1320">
        <f t="shared" si="20"/>
        <v>45.837346416921299</v>
      </c>
    </row>
    <row r="1321" spans="1:10" x14ac:dyDescent="0.25">
      <c r="A1321" t="s">
        <v>198</v>
      </c>
      <c r="B1321" t="s">
        <v>199</v>
      </c>
      <c r="C1321" t="s">
        <v>32</v>
      </c>
      <c r="D1321" t="s">
        <v>33</v>
      </c>
      <c r="E1321">
        <v>14</v>
      </c>
      <c r="F1321">
        <v>14</v>
      </c>
      <c r="G1321">
        <v>14</v>
      </c>
      <c r="H1321">
        <v>14</v>
      </c>
      <c r="I1321">
        <v>14</v>
      </c>
      <c r="J1321">
        <f t="shared" si="20"/>
        <v>14</v>
      </c>
    </row>
    <row r="1322" spans="1:10" x14ac:dyDescent="0.25">
      <c r="A1322" t="s">
        <v>198</v>
      </c>
      <c r="B1322" t="s">
        <v>199</v>
      </c>
      <c r="C1322" t="s">
        <v>34</v>
      </c>
      <c r="D1322" t="s">
        <v>35</v>
      </c>
      <c r="E1322">
        <v>18.095237731933601</v>
      </c>
      <c r="F1322">
        <v>19.523809432983398</v>
      </c>
      <c r="G1322">
        <v>17.619047164916999</v>
      </c>
      <c r="H1322">
        <v>17.4528293609619</v>
      </c>
      <c r="I1322">
        <v>17.4528293609619</v>
      </c>
      <c r="J1322">
        <f t="shared" si="20"/>
        <v>19.523809432983398</v>
      </c>
    </row>
    <row r="1323" spans="1:10" x14ac:dyDescent="0.25">
      <c r="A1323" t="s">
        <v>198</v>
      </c>
      <c r="B1323" t="s">
        <v>199</v>
      </c>
      <c r="C1323" t="s">
        <v>36</v>
      </c>
      <c r="D1323" t="s">
        <v>37</v>
      </c>
      <c r="F1323">
        <v>37.545087375243703</v>
      </c>
      <c r="J1323">
        <f t="shared" si="20"/>
        <v>37.545087375243703</v>
      </c>
    </row>
    <row r="1324" spans="1:10" x14ac:dyDescent="0.25">
      <c r="A1324" t="s">
        <v>198</v>
      </c>
      <c r="B1324" t="s">
        <v>199</v>
      </c>
      <c r="C1324" t="s">
        <v>38</v>
      </c>
      <c r="D1324" t="s">
        <v>39</v>
      </c>
      <c r="F1324">
        <v>5.2723608193918103</v>
      </c>
      <c r="J1324">
        <f t="shared" si="20"/>
        <v>5.2723608193918103</v>
      </c>
    </row>
    <row r="1325" spans="1:10" x14ac:dyDescent="0.25">
      <c r="A1325" t="s">
        <v>198</v>
      </c>
      <c r="B1325" t="s">
        <v>199</v>
      </c>
      <c r="C1325" t="s">
        <v>40</v>
      </c>
      <c r="D1325" t="s">
        <v>41</v>
      </c>
      <c r="E1325">
        <v>83.960792999999995</v>
      </c>
      <c r="F1325">
        <v>77.421446000000003</v>
      </c>
      <c r="G1325">
        <v>75.964264</v>
      </c>
      <c r="H1325">
        <v>82.972171000000003</v>
      </c>
      <c r="J1325">
        <f t="shared" si="20"/>
        <v>83.960792999999995</v>
      </c>
    </row>
    <row r="1326" spans="1:10" x14ac:dyDescent="0.25">
      <c r="A1326" t="s">
        <v>198</v>
      </c>
      <c r="B1326" t="s">
        <v>199</v>
      </c>
      <c r="C1326" t="s">
        <v>42</v>
      </c>
      <c r="D1326" t="s">
        <v>43</v>
      </c>
      <c r="J1326">
        <f t="shared" si="20"/>
        <v>0</v>
      </c>
    </row>
    <row r="1327" spans="1:10" x14ac:dyDescent="0.25">
      <c r="A1327" t="s">
        <v>198</v>
      </c>
      <c r="B1327" t="s">
        <v>199</v>
      </c>
      <c r="C1327" t="s">
        <v>44</v>
      </c>
      <c r="D1327" t="s">
        <v>45</v>
      </c>
      <c r="E1327">
        <v>8.4</v>
      </c>
      <c r="J1327">
        <f t="shared" si="20"/>
        <v>8.4</v>
      </c>
    </row>
    <row r="1328" spans="1:10" x14ac:dyDescent="0.25">
      <c r="A1328" t="s">
        <v>200</v>
      </c>
      <c r="B1328" t="s">
        <v>201</v>
      </c>
      <c r="C1328" t="s">
        <v>11</v>
      </c>
      <c r="D1328" t="s">
        <v>12</v>
      </c>
      <c r="G1328">
        <v>64.25</v>
      </c>
      <c r="J1328">
        <f t="shared" si="20"/>
        <v>64.25</v>
      </c>
    </row>
    <row r="1329" spans="1:10" x14ac:dyDescent="0.25">
      <c r="A1329" t="s">
        <v>200</v>
      </c>
      <c r="B1329" t="s">
        <v>201</v>
      </c>
      <c r="C1329" t="s">
        <v>14</v>
      </c>
      <c r="D1329" t="s">
        <v>15</v>
      </c>
      <c r="G1329">
        <v>62.92</v>
      </c>
      <c r="J1329">
        <f t="shared" si="20"/>
        <v>62.92</v>
      </c>
    </row>
    <row r="1330" spans="1:10" x14ac:dyDescent="0.25">
      <c r="A1330" t="s">
        <v>200</v>
      </c>
      <c r="B1330" t="s">
        <v>201</v>
      </c>
      <c r="C1330" t="s">
        <v>16</v>
      </c>
      <c r="D1330" t="s">
        <v>17</v>
      </c>
      <c r="G1330">
        <v>65.7</v>
      </c>
      <c r="J1330">
        <f t="shared" si="20"/>
        <v>65.7</v>
      </c>
    </row>
    <row r="1331" spans="1:10" x14ac:dyDescent="0.25">
      <c r="A1331" t="s">
        <v>200</v>
      </c>
      <c r="B1331" t="s">
        <v>201</v>
      </c>
      <c r="C1331" t="s">
        <v>18</v>
      </c>
      <c r="D1331" t="s">
        <v>19</v>
      </c>
      <c r="G1331">
        <v>54.43</v>
      </c>
      <c r="J1331">
        <f t="shared" si="20"/>
        <v>54.43</v>
      </c>
    </row>
    <row r="1332" spans="1:10" x14ac:dyDescent="0.25">
      <c r="A1332" t="s">
        <v>200</v>
      </c>
      <c r="B1332" t="s">
        <v>201</v>
      </c>
      <c r="C1332" t="s">
        <v>20</v>
      </c>
      <c r="D1332" t="s">
        <v>21</v>
      </c>
      <c r="G1332">
        <v>63.88</v>
      </c>
      <c r="J1332">
        <f t="shared" si="20"/>
        <v>63.88</v>
      </c>
    </row>
    <row r="1333" spans="1:10" x14ac:dyDescent="0.25">
      <c r="A1333" t="s">
        <v>200</v>
      </c>
      <c r="B1333" t="s">
        <v>201</v>
      </c>
      <c r="C1333" t="s">
        <v>22</v>
      </c>
      <c r="D1333" t="s">
        <v>23</v>
      </c>
      <c r="G1333">
        <v>39.950000000000003</v>
      </c>
      <c r="J1333">
        <f t="shared" si="20"/>
        <v>39.950000000000003</v>
      </c>
    </row>
    <row r="1334" spans="1:10" x14ac:dyDescent="0.25">
      <c r="A1334" t="s">
        <v>200</v>
      </c>
      <c r="B1334" t="s">
        <v>201</v>
      </c>
      <c r="C1334" t="s">
        <v>24</v>
      </c>
      <c r="D1334" t="s">
        <v>25</v>
      </c>
      <c r="J1334">
        <f t="shared" si="20"/>
        <v>0</v>
      </c>
    </row>
    <row r="1335" spans="1:10" x14ac:dyDescent="0.25">
      <c r="A1335" t="s">
        <v>200</v>
      </c>
      <c r="B1335" t="s">
        <v>201</v>
      </c>
      <c r="C1335" t="s">
        <v>26</v>
      </c>
      <c r="D1335" t="s">
        <v>27</v>
      </c>
      <c r="E1335">
        <v>11.9</v>
      </c>
      <c r="J1335">
        <f t="shared" si="20"/>
        <v>11.9</v>
      </c>
    </row>
    <row r="1336" spans="1:10" x14ac:dyDescent="0.25">
      <c r="A1336" t="s">
        <v>200</v>
      </c>
      <c r="B1336" t="s">
        <v>201</v>
      </c>
      <c r="C1336" t="s">
        <v>28</v>
      </c>
      <c r="D1336" t="s">
        <v>29</v>
      </c>
      <c r="E1336">
        <v>7</v>
      </c>
      <c r="J1336">
        <f t="shared" si="20"/>
        <v>7</v>
      </c>
    </row>
    <row r="1337" spans="1:10" x14ac:dyDescent="0.25">
      <c r="A1337" t="s">
        <v>200</v>
      </c>
      <c r="B1337" t="s">
        <v>201</v>
      </c>
      <c r="C1337" t="s">
        <v>30</v>
      </c>
      <c r="D1337" t="s">
        <v>31</v>
      </c>
      <c r="E1337">
        <v>25.451011908104299</v>
      </c>
      <c r="F1337">
        <v>33.955575215779199</v>
      </c>
      <c r="G1337">
        <v>32.118779060005302</v>
      </c>
      <c r="H1337">
        <v>34.521317865394899</v>
      </c>
      <c r="J1337">
        <f t="shared" si="20"/>
        <v>34.521317865394899</v>
      </c>
    </row>
    <row r="1338" spans="1:10" x14ac:dyDescent="0.25">
      <c r="A1338" t="s">
        <v>200</v>
      </c>
      <c r="B1338" t="s">
        <v>201</v>
      </c>
      <c r="C1338" t="s">
        <v>32</v>
      </c>
      <c r="D1338" t="s">
        <v>33</v>
      </c>
      <c r="E1338">
        <v>13</v>
      </c>
      <c r="F1338">
        <v>13</v>
      </c>
      <c r="G1338">
        <v>10</v>
      </c>
      <c r="H1338">
        <v>10</v>
      </c>
      <c r="I1338">
        <v>10</v>
      </c>
      <c r="J1338">
        <f t="shared" si="20"/>
        <v>13</v>
      </c>
    </row>
    <row r="1339" spans="1:10" x14ac:dyDescent="0.25">
      <c r="A1339" t="s">
        <v>200</v>
      </c>
      <c r="B1339" t="s">
        <v>201</v>
      </c>
      <c r="C1339" t="s">
        <v>34</v>
      </c>
      <c r="D1339" t="s">
        <v>35</v>
      </c>
      <c r="E1339">
        <v>29.0476188659668</v>
      </c>
      <c r="F1339">
        <v>30</v>
      </c>
      <c r="G1339">
        <v>35.238094329833999</v>
      </c>
      <c r="H1339">
        <v>42.452831268310497</v>
      </c>
      <c r="I1339">
        <v>46.698112487792997</v>
      </c>
      <c r="J1339">
        <f t="shared" si="20"/>
        <v>46.698112487792997</v>
      </c>
    </row>
    <row r="1340" spans="1:10" x14ac:dyDescent="0.25">
      <c r="A1340" t="s">
        <v>200</v>
      </c>
      <c r="B1340" t="s">
        <v>201</v>
      </c>
      <c r="C1340" t="s">
        <v>36</v>
      </c>
      <c r="D1340" t="s">
        <v>37</v>
      </c>
      <c r="J1340">
        <f t="shared" si="20"/>
        <v>0</v>
      </c>
    </row>
    <row r="1341" spans="1:10" x14ac:dyDescent="0.25">
      <c r="A1341" t="s">
        <v>200</v>
      </c>
      <c r="B1341" t="s">
        <v>201</v>
      </c>
      <c r="C1341" t="s">
        <v>38</v>
      </c>
      <c r="D1341" t="s">
        <v>39</v>
      </c>
      <c r="J1341">
        <f t="shared" si="20"/>
        <v>0</v>
      </c>
    </row>
    <row r="1342" spans="1:10" x14ac:dyDescent="0.25">
      <c r="A1342" t="s">
        <v>200</v>
      </c>
      <c r="B1342" t="s">
        <v>201</v>
      </c>
      <c r="C1342" t="s">
        <v>40</v>
      </c>
      <c r="D1342" t="s">
        <v>41</v>
      </c>
      <c r="E1342">
        <v>80.172404999999998</v>
      </c>
      <c r="F1342">
        <v>79.423761999999996</v>
      </c>
      <c r="G1342">
        <v>78.640580999999997</v>
      </c>
      <c r="H1342">
        <v>83.539975999999996</v>
      </c>
      <c r="J1342">
        <f t="shared" si="20"/>
        <v>83.539975999999996</v>
      </c>
    </row>
    <row r="1343" spans="1:10" x14ac:dyDescent="0.25">
      <c r="A1343" t="s">
        <v>200</v>
      </c>
      <c r="B1343" t="s">
        <v>201</v>
      </c>
      <c r="C1343" t="s">
        <v>42</v>
      </c>
      <c r="D1343" t="s">
        <v>43</v>
      </c>
      <c r="J1343">
        <f t="shared" si="20"/>
        <v>0</v>
      </c>
    </row>
    <row r="1344" spans="1:10" x14ac:dyDescent="0.25">
      <c r="A1344" t="s">
        <v>200</v>
      </c>
      <c r="B1344" t="s">
        <v>201</v>
      </c>
      <c r="C1344" t="s">
        <v>44</v>
      </c>
      <c r="D1344" t="s">
        <v>45</v>
      </c>
      <c r="E1344">
        <v>4</v>
      </c>
      <c r="J1344">
        <f t="shared" si="20"/>
        <v>4</v>
      </c>
    </row>
    <row r="1345" spans="1:10" x14ac:dyDescent="0.25">
      <c r="A1345" t="s">
        <v>202</v>
      </c>
      <c r="B1345" t="s">
        <v>203</v>
      </c>
      <c r="C1345" t="s">
        <v>11</v>
      </c>
      <c r="D1345" t="s">
        <v>12</v>
      </c>
      <c r="G1345">
        <v>98.46</v>
      </c>
      <c r="J1345">
        <f t="shared" si="20"/>
        <v>98.46</v>
      </c>
    </row>
    <row r="1346" spans="1:10" x14ac:dyDescent="0.25">
      <c r="A1346" t="s">
        <v>202</v>
      </c>
      <c r="B1346" t="s">
        <v>203</v>
      </c>
      <c r="C1346" t="s">
        <v>14</v>
      </c>
      <c r="D1346" t="s">
        <v>15</v>
      </c>
      <c r="G1346">
        <v>98.97</v>
      </c>
      <c r="J1346">
        <f t="shared" si="20"/>
        <v>98.97</v>
      </c>
    </row>
    <row r="1347" spans="1:10" x14ac:dyDescent="0.25">
      <c r="A1347" t="s">
        <v>202</v>
      </c>
      <c r="B1347" t="s">
        <v>203</v>
      </c>
      <c r="C1347" t="s">
        <v>16</v>
      </c>
      <c r="D1347" t="s">
        <v>17</v>
      </c>
      <c r="G1347">
        <v>97.89</v>
      </c>
      <c r="J1347">
        <f t="shared" ref="J1347:J1410" si="21">MAX(E1347:I1347)</f>
        <v>97.89</v>
      </c>
    </row>
    <row r="1348" spans="1:10" x14ac:dyDescent="0.25">
      <c r="A1348" t="s">
        <v>202</v>
      </c>
      <c r="B1348" t="s">
        <v>203</v>
      </c>
      <c r="C1348" t="s">
        <v>18</v>
      </c>
      <c r="D1348" t="s">
        <v>19</v>
      </c>
      <c r="G1348">
        <v>98.29</v>
      </c>
      <c r="J1348">
        <f t="shared" si="21"/>
        <v>98.29</v>
      </c>
    </row>
    <row r="1349" spans="1:10" x14ac:dyDescent="0.25">
      <c r="A1349" t="s">
        <v>202</v>
      </c>
      <c r="B1349" t="s">
        <v>203</v>
      </c>
      <c r="C1349" t="s">
        <v>20</v>
      </c>
      <c r="D1349" t="s">
        <v>21</v>
      </c>
      <c r="G1349">
        <v>95.45</v>
      </c>
      <c r="J1349">
        <f t="shared" si="21"/>
        <v>95.45</v>
      </c>
    </row>
    <row r="1350" spans="1:10" x14ac:dyDescent="0.25">
      <c r="A1350" t="s">
        <v>202</v>
      </c>
      <c r="B1350" t="s">
        <v>203</v>
      </c>
      <c r="C1350" t="s">
        <v>22</v>
      </c>
      <c r="D1350" t="s">
        <v>23</v>
      </c>
      <c r="G1350">
        <v>96.53</v>
      </c>
      <c r="J1350">
        <f t="shared" si="21"/>
        <v>96.53</v>
      </c>
    </row>
    <row r="1351" spans="1:10" x14ac:dyDescent="0.25">
      <c r="A1351" t="s">
        <v>202</v>
      </c>
      <c r="B1351" t="s">
        <v>203</v>
      </c>
      <c r="C1351" t="s">
        <v>24</v>
      </c>
      <c r="D1351" t="s">
        <v>25</v>
      </c>
      <c r="J1351">
        <f t="shared" si="21"/>
        <v>0</v>
      </c>
    </row>
    <row r="1352" spans="1:10" x14ac:dyDescent="0.25">
      <c r="A1352" t="s">
        <v>202</v>
      </c>
      <c r="B1352" t="s">
        <v>203</v>
      </c>
      <c r="C1352" t="s">
        <v>26</v>
      </c>
      <c r="D1352" t="s">
        <v>27</v>
      </c>
      <c r="E1352">
        <v>24.7</v>
      </c>
      <c r="J1352">
        <f t="shared" si="21"/>
        <v>24.7</v>
      </c>
    </row>
    <row r="1353" spans="1:10" x14ac:dyDescent="0.25">
      <c r="A1353" t="s">
        <v>202</v>
      </c>
      <c r="B1353" t="s">
        <v>203</v>
      </c>
      <c r="C1353" t="s">
        <v>28</v>
      </c>
      <c r="D1353" t="s">
        <v>29</v>
      </c>
      <c r="E1353">
        <v>6</v>
      </c>
      <c r="J1353">
        <f t="shared" si="21"/>
        <v>6</v>
      </c>
    </row>
    <row r="1354" spans="1:10" x14ac:dyDescent="0.25">
      <c r="A1354" t="s">
        <v>202</v>
      </c>
      <c r="B1354" t="s">
        <v>203</v>
      </c>
      <c r="C1354" t="s">
        <v>30</v>
      </c>
      <c r="D1354" t="s">
        <v>31</v>
      </c>
      <c r="E1354">
        <v>60.844039717462103</v>
      </c>
      <c r="F1354">
        <v>73.936783515285796</v>
      </c>
      <c r="G1354">
        <v>67.571014323773497</v>
      </c>
      <c r="J1354">
        <f t="shared" si="21"/>
        <v>73.936783515285796</v>
      </c>
    </row>
    <row r="1355" spans="1:10" x14ac:dyDescent="0.25">
      <c r="A1355" t="s">
        <v>202</v>
      </c>
      <c r="B1355" t="s">
        <v>203</v>
      </c>
      <c r="C1355" t="s">
        <v>32</v>
      </c>
      <c r="D1355" t="s">
        <v>33</v>
      </c>
      <c r="E1355">
        <v>12</v>
      </c>
      <c r="F1355">
        <v>12</v>
      </c>
      <c r="G1355">
        <v>12</v>
      </c>
      <c r="H1355">
        <v>12</v>
      </c>
      <c r="I1355">
        <v>12</v>
      </c>
      <c r="J1355">
        <f t="shared" si="21"/>
        <v>12</v>
      </c>
    </row>
    <row r="1356" spans="1:10" x14ac:dyDescent="0.25">
      <c r="A1356" t="s">
        <v>202</v>
      </c>
      <c r="B1356" t="s">
        <v>203</v>
      </c>
      <c r="C1356" t="s">
        <v>34</v>
      </c>
      <c r="D1356" t="s">
        <v>35</v>
      </c>
      <c r="E1356">
        <v>37.142856597900398</v>
      </c>
      <c r="F1356">
        <v>34.285713195800803</v>
      </c>
      <c r="G1356">
        <v>33.333332061767599</v>
      </c>
      <c r="H1356">
        <v>32.547168731689503</v>
      </c>
      <c r="I1356">
        <v>35.377357482910199</v>
      </c>
      <c r="J1356">
        <f t="shared" si="21"/>
        <v>37.142856597900398</v>
      </c>
    </row>
    <row r="1357" spans="1:10" x14ac:dyDescent="0.25">
      <c r="A1357" t="s">
        <v>202</v>
      </c>
      <c r="B1357" t="s">
        <v>203</v>
      </c>
      <c r="C1357" t="s">
        <v>36</v>
      </c>
      <c r="D1357" t="s">
        <v>37</v>
      </c>
      <c r="J1357">
        <f t="shared" si="21"/>
        <v>0</v>
      </c>
    </row>
    <row r="1358" spans="1:10" x14ac:dyDescent="0.25">
      <c r="A1358" t="s">
        <v>202</v>
      </c>
      <c r="B1358" t="s">
        <v>203</v>
      </c>
      <c r="C1358" t="s">
        <v>38</v>
      </c>
      <c r="D1358" t="s">
        <v>39</v>
      </c>
      <c r="J1358">
        <f t="shared" si="21"/>
        <v>0</v>
      </c>
    </row>
    <row r="1359" spans="1:10" x14ac:dyDescent="0.25">
      <c r="A1359" t="s">
        <v>202</v>
      </c>
      <c r="B1359" t="s">
        <v>203</v>
      </c>
      <c r="C1359" t="s">
        <v>40</v>
      </c>
      <c r="D1359" t="s">
        <v>41</v>
      </c>
      <c r="E1359">
        <v>81.845723000000007</v>
      </c>
      <c r="F1359">
        <v>81.373446000000001</v>
      </c>
      <c r="G1359">
        <v>77.768332999999998</v>
      </c>
      <c r="H1359">
        <v>83.016925000000001</v>
      </c>
      <c r="J1359">
        <f t="shared" si="21"/>
        <v>83.016925000000001</v>
      </c>
    </row>
    <row r="1360" spans="1:10" x14ac:dyDescent="0.25">
      <c r="A1360" t="s">
        <v>202</v>
      </c>
      <c r="B1360" t="s">
        <v>203</v>
      </c>
      <c r="C1360" t="s">
        <v>42</v>
      </c>
      <c r="D1360" t="s">
        <v>43</v>
      </c>
      <c r="J1360">
        <f t="shared" si="21"/>
        <v>0</v>
      </c>
    </row>
    <row r="1361" spans="1:10" x14ac:dyDescent="0.25">
      <c r="A1361" t="s">
        <v>202</v>
      </c>
      <c r="B1361" t="s">
        <v>203</v>
      </c>
      <c r="C1361" t="s">
        <v>44</v>
      </c>
      <c r="D1361" t="s">
        <v>45</v>
      </c>
      <c r="E1361">
        <v>12</v>
      </c>
      <c r="J1361">
        <f t="shared" si="21"/>
        <v>12</v>
      </c>
    </row>
    <row r="1362" spans="1:10" x14ac:dyDescent="0.25">
      <c r="A1362" t="s">
        <v>204</v>
      </c>
      <c r="B1362" t="s">
        <v>205</v>
      </c>
      <c r="C1362" t="s">
        <v>11</v>
      </c>
      <c r="D1362" t="s">
        <v>12</v>
      </c>
      <c r="J1362">
        <f t="shared" si="21"/>
        <v>0</v>
      </c>
    </row>
    <row r="1363" spans="1:10" x14ac:dyDescent="0.25">
      <c r="A1363" t="s">
        <v>204</v>
      </c>
      <c r="B1363" t="s">
        <v>205</v>
      </c>
      <c r="C1363" t="s">
        <v>14</v>
      </c>
      <c r="D1363" t="s">
        <v>15</v>
      </c>
      <c r="J1363">
        <f t="shared" si="21"/>
        <v>0</v>
      </c>
    </row>
    <row r="1364" spans="1:10" x14ac:dyDescent="0.25">
      <c r="A1364" t="s">
        <v>204</v>
      </c>
      <c r="B1364" t="s">
        <v>205</v>
      </c>
      <c r="C1364" t="s">
        <v>16</v>
      </c>
      <c r="D1364" t="s">
        <v>17</v>
      </c>
      <c r="J1364">
        <f t="shared" si="21"/>
        <v>0</v>
      </c>
    </row>
    <row r="1365" spans="1:10" x14ac:dyDescent="0.25">
      <c r="A1365" t="s">
        <v>204</v>
      </c>
      <c r="B1365" t="s">
        <v>205</v>
      </c>
      <c r="C1365" t="s">
        <v>18</v>
      </c>
      <c r="D1365" t="s">
        <v>19</v>
      </c>
      <c r="J1365">
        <f t="shared" si="21"/>
        <v>0</v>
      </c>
    </row>
    <row r="1366" spans="1:10" x14ac:dyDescent="0.25">
      <c r="A1366" t="s">
        <v>204</v>
      </c>
      <c r="B1366" t="s">
        <v>205</v>
      </c>
      <c r="C1366" t="s">
        <v>20</v>
      </c>
      <c r="D1366" t="s">
        <v>21</v>
      </c>
      <c r="J1366">
        <f t="shared" si="21"/>
        <v>0</v>
      </c>
    </row>
    <row r="1367" spans="1:10" x14ac:dyDescent="0.25">
      <c r="A1367" t="s">
        <v>204</v>
      </c>
      <c r="B1367" t="s">
        <v>205</v>
      </c>
      <c r="C1367" t="s">
        <v>22</v>
      </c>
      <c r="D1367" t="s">
        <v>23</v>
      </c>
      <c r="J1367">
        <f t="shared" si="21"/>
        <v>0</v>
      </c>
    </row>
    <row r="1368" spans="1:10" x14ac:dyDescent="0.25">
      <c r="A1368" t="s">
        <v>204</v>
      </c>
      <c r="B1368" t="s">
        <v>205</v>
      </c>
      <c r="C1368" t="s">
        <v>24</v>
      </c>
      <c r="D1368" t="s">
        <v>25</v>
      </c>
      <c r="J1368">
        <f t="shared" si="21"/>
        <v>0</v>
      </c>
    </row>
    <row r="1369" spans="1:10" x14ac:dyDescent="0.25">
      <c r="A1369" t="s">
        <v>204</v>
      </c>
      <c r="B1369" t="s">
        <v>205</v>
      </c>
      <c r="C1369" t="s">
        <v>26</v>
      </c>
      <c r="D1369" t="s">
        <v>27</v>
      </c>
      <c r="E1369">
        <v>21.4</v>
      </c>
      <c r="I1369">
        <v>8</v>
      </c>
      <c r="J1369">
        <f t="shared" si="21"/>
        <v>21.4</v>
      </c>
    </row>
    <row r="1370" spans="1:10" x14ac:dyDescent="0.25">
      <c r="A1370" t="s">
        <v>204</v>
      </c>
      <c r="B1370" t="s">
        <v>205</v>
      </c>
      <c r="C1370" t="s">
        <v>28</v>
      </c>
      <c r="D1370" t="s">
        <v>29</v>
      </c>
      <c r="E1370">
        <v>5</v>
      </c>
      <c r="J1370">
        <f t="shared" si="21"/>
        <v>5</v>
      </c>
    </row>
    <row r="1371" spans="1:10" x14ac:dyDescent="0.25">
      <c r="A1371" t="s">
        <v>204</v>
      </c>
      <c r="B1371" t="s">
        <v>205</v>
      </c>
      <c r="C1371" t="s">
        <v>30</v>
      </c>
      <c r="D1371" t="s">
        <v>31</v>
      </c>
      <c r="J1371">
        <f t="shared" si="21"/>
        <v>0</v>
      </c>
    </row>
    <row r="1372" spans="1:10" x14ac:dyDescent="0.25">
      <c r="A1372" t="s">
        <v>204</v>
      </c>
      <c r="B1372" t="s">
        <v>205</v>
      </c>
      <c r="C1372" t="s">
        <v>32</v>
      </c>
      <c r="D1372" t="s">
        <v>33</v>
      </c>
      <c r="E1372">
        <v>9</v>
      </c>
      <c r="F1372">
        <v>9</v>
      </c>
      <c r="G1372">
        <v>9</v>
      </c>
      <c r="H1372">
        <v>9</v>
      </c>
      <c r="I1372">
        <v>9</v>
      </c>
      <c r="J1372">
        <f t="shared" si="21"/>
        <v>9</v>
      </c>
    </row>
    <row r="1373" spans="1:10" x14ac:dyDescent="0.25">
      <c r="A1373" t="s">
        <v>204</v>
      </c>
      <c r="B1373" t="s">
        <v>205</v>
      </c>
      <c r="C1373" t="s">
        <v>34</v>
      </c>
      <c r="D1373" t="s">
        <v>35</v>
      </c>
      <c r="E1373">
        <v>54.761905670166001</v>
      </c>
      <c r="F1373">
        <v>54.285713195800803</v>
      </c>
      <c r="G1373">
        <v>52.857143402099602</v>
      </c>
      <c r="H1373">
        <v>50.4716987609863</v>
      </c>
      <c r="I1373">
        <v>51.886791229247997</v>
      </c>
      <c r="J1373">
        <f t="shared" si="21"/>
        <v>54.761905670166001</v>
      </c>
    </row>
    <row r="1374" spans="1:10" x14ac:dyDescent="0.25">
      <c r="A1374" t="s">
        <v>204</v>
      </c>
      <c r="B1374" t="s">
        <v>205</v>
      </c>
      <c r="C1374" t="s">
        <v>36</v>
      </c>
      <c r="D1374" t="s">
        <v>37</v>
      </c>
      <c r="J1374">
        <f t="shared" si="21"/>
        <v>0</v>
      </c>
    </row>
    <row r="1375" spans="1:10" x14ac:dyDescent="0.25">
      <c r="A1375" t="s">
        <v>204</v>
      </c>
      <c r="B1375" t="s">
        <v>205</v>
      </c>
      <c r="C1375" t="s">
        <v>38</v>
      </c>
      <c r="D1375" t="s">
        <v>39</v>
      </c>
      <c r="J1375">
        <f t="shared" si="21"/>
        <v>0</v>
      </c>
    </row>
    <row r="1376" spans="1:10" x14ac:dyDescent="0.25">
      <c r="A1376" t="s">
        <v>204</v>
      </c>
      <c r="B1376" t="s">
        <v>205</v>
      </c>
      <c r="C1376" t="s">
        <v>40</v>
      </c>
      <c r="D1376" t="s">
        <v>41</v>
      </c>
      <c r="E1376">
        <v>88.705653999999996</v>
      </c>
      <c r="F1376">
        <v>86.904348999999996</v>
      </c>
      <c r="G1376">
        <v>85.696788999999995</v>
      </c>
      <c r="H1376">
        <v>87.480953999999997</v>
      </c>
      <c r="J1376">
        <f t="shared" si="21"/>
        <v>88.705653999999996</v>
      </c>
    </row>
    <row r="1377" spans="1:10" x14ac:dyDescent="0.25">
      <c r="A1377" t="s">
        <v>204</v>
      </c>
      <c r="B1377" t="s">
        <v>205</v>
      </c>
      <c r="C1377" t="s">
        <v>42</v>
      </c>
      <c r="D1377" t="s">
        <v>43</v>
      </c>
      <c r="J1377">
        <f t="shared" si="21"/>
        <v>0</v>
      </c>
    </row>
    <row r="1378" spans="1:10" x14ac:dyDescent="0.25">
      <c r="A1378" t="s">
        <v>204</v>
      </c>
      <c r="B1378" t="s">
        <v>205</v>
      </c>
      <c r="C1378" t="s">
        <v>44</v>
      </c>
      <c r="D1378" t="s">
        <v>45</v>
      </c>
      <c r="E1378">
        <v>12</v>
      </c>
      <c r="J1378">
        <f t="shared" si="21"/>
        <v>12</v>
      </c>
    </row>
    <row r="1379" spans="1:10" x14ac:dyDescent="0.25">
      <c r="A1379" t="s">
        <v>206</v>
      </c>
      <c r="B1379" t="s">
        <v>207</v>
      </c>
      <c r="C1379" t="s">
        <v>11</v>
      </c>
      <c r="D1379" t="s">
        <v>12</v>
      </c>
      <c r="G1379">
        <v>44.37</v>
      </c>
      <c r="J1379">
        <f t="shared" si="21"/>
        <v>44.37</v>
      </c>
    </row>
    <row r="1380" spans="1:10" x14ac:dyDescent="0.25">
      <c r="A1380" t="s">
        <v>206</v>
      </c>
      <c r="B1380" t="s">
        <v>207</v>
      </c>
      <c r="C1380" t="s">
        <v>14</v>
      </c>
      <c r="D1380" t="s">
        <v>15</v>
      </c>
      <c r="G1380">
        <v>32.700000000000003</v>
      </c>
      <c r="J1380">
        <f t="shared" si="21"/>
        <v>32.700000000000003</v>
      </c>
    </row>
    <row r="1381" spans="1:10" x14ac:dyDescent="0.25">
      <c r="A1381" t="s">
        <v>206</v>
      </c>
      <c r="B1381" t="s">
        <v>207</v>
      </c>
      <c r="C1381" t="s">
        <v>16</v>
      </c>
      <c r="D1381" t="s">
        <v>17</v>
      </c>
      <c r="G1381">
        <v>55.97</v>
      </c>
      <c r="J1381">
        <f t="shared" si="21"/>
        <v>55.97</v>
      </c>
    </row>
    <row r="1382" spans="1:10" x14ac:dyDescent="0.25">
      <c r="A1382" t="s">
        <v>206</v>
      </c>
      <c r="B1382" t="s">
        <v>207</v>
      </c>
      <c r="C1382" t="s">
        <v>18</v>
      </c>
      <c r="D1382" t="s">
        <v>19</v>
      </c>
      <c r="G1382">
        <v>33.93</v>
      </c>
      <c r="J1382">
        <f t="shared" si="21"/>
        <v>33.93</v>
      </c>
    </row>
    <row r="1383" spans="1:10" x14ac:dyDescent="0.25">
      <c r="A1383" t="s">
        <v>206</v>
      </c>
      <c r="B1383" t="s">
        <v>207</v>
      </c>
      <c r="C1383" t="s">
        <v>20</v>
      </c>
      <c r="D1383" t="s">
        <v>21</v>
      </c>
      <c r="G1383">
        <v>35.9</v>
      </c>
      <c r="J1383">
        <f t="shared" si="21"/>
        <v>35.9</v>
      </c>
    </row>
    <row r="1384" spans="1:10" x14ac:dyDescent="0.25">
      <c r="A1384" t="s">
        <v>206</v>
      </c>
      <c r="B1384" t="s">
        <v>207</v>
      </c>
      <c r="C1384" t="s">
        <v>22</v>
      </c>
      <c r="D1384" t="s">
        <v>23</v>
      </c>
      <c r="G1384">
        <v>36.909999999999997</v>
      </c>
      <c r="J1384">
        <f t="shared" si="21"/>
        <v>36.909999999999997</v>
      </c>
    </row>
    <row r="1385" spans="1:10" x14ac:dyDescent="0.25">
      <c r="A1385" t="s">
        <v>206</v>
      </c>
      <c r="B1385" t="s">
        <v>207</v>
      </c>
      <c r="C1385" t="s">
        <v>24</v>
      </c>
      <c r="D1385" t="s">
        <v>25</v>
      </c>
      <c r="J1385">
        <f t="shared" si="21"/>
        <v>0</v>
      </c>
    </row>
    <row r="1386" spans="1:10" x14ac:dyDescent="0.25">
      <c r="A1386" t="s">
        <v>206</v>
      </c>
      <c r="B1386" t="s">
        <v>207</v>
      </c>
      <c r="C1386" t="s">
        <v>26</v>
      </c>
      <c r="D1386" t="s">
        <v>27</v>
      </c>
      <c r="E1386">
        <v>16.899999999999999</v>
      </c>
      <c r="I1386">
        <v>29.6</v>
      </c>
      <c r="J1386">
        <f t="shared" si="21"/>
        <v>29.6</v>
      </c>
    </row>
    <row r="1387" spans="1:10" x14ac:dyDescent="0.25">
      <c r="A1387" t="s">
        <v>206</v>
      </c>
      <c r="B1387" t="s">
        <v>207</v>
      </c>
      <c r="C1387" t="s">
        <v>28</v>
      </c>
      <c r="D1387" t="s">
        <v>29</v>
      </c>
      <c r="E1387">
        <v>9</v>
      </c>
      <c r="J1387">
        <f t="shared" si="21"/>
        <v>9</v>
      </c>
    </row>
    <row r="1388" spans="1:10" x14ac:dyDescent="0.25">
      <c r="A1388" t="s">
        <v>206</v>
      </c>
      <c r="B1388" t="s">
        <v>207</v>
      </c>
      <c r="C1388" t="s">
        <v>30</v>
      </c>
      <c r="D1388" t="s">
        <v>31</v>
      </c>
      <c r="J1388">
        <f t="shared" si="21"/>
        <v>0</v>
      </c>
    </row>
    <row r="1389" spans="1:10" x14ac:dyDescent="0.25">
      <c r="A1389" t="s">
        <v>206</v>
      </c>
      <c r="B1389" t="s">
        <v>207</v>
      </c>
      <c r="C1389" t="s">
        <v>32</v>
      </c>
      <c r="D1389" t="s">
        <v>33</v>
      </c>
      <c r="E1389">
        <v>9</v>
      </c>
      <c r="F1389">
        <v>9</v>
      </c>
      <c r="G1389">
        <v>9</v>
      </c>
      <c r="H1389">
        <v>9</v>
      </c>
      <c r="I1389">
        <v>9</v>
      </c>
      <c r="J1389">
        <f t="shared" si="21"/>
        <v>9</v>
      </c>
    </row>
    <row r="1390" spans="1:10" x14ac:dyDescent="0.25">
      <c r="A1390" t="s">
        <v>206</v>
      </c>
      <c r="B1390" t="s">
        <v>207</v>
      </c>
      <c r="C1390" t="s">
        <v>34</v>
      </c>
      <c r="D1390" t="s">
        <v>35</v>
      </c>
      <c r="E1390">
        <v>41.4285697937012</v>
      </c>
      <c r="F1390">
        <v>38.5714302062988</v>
      </c>
      <c r="G1390">
        <v>38.5714302062988</v>
      </c>
      <c r="H1390">
        <v>39.622642517089801</v>
      </c>
      <c r="I1390">
        <v>33.018867492675803</v>
      </c>
      <c r="J1390">
        <f t="shared" si="21"/>
        <v>41.4285697937012</v>
      </c>
    </row>
    <row r="1391" spans="1:10" x14ac:dyDescent="0.25">
      <c r="A1391" t="s">
        <v>206</v>
      </c>
      <c r="B1391" t="s">
        <v>207</v>
      </c>
      <c r="C1391" t="s">
        <v>36</v>
      </c>
      <c r="D1391" t="s">
        <v>37</v>
      </c>
      <c r="J1391">
        <f t="shared" si="21"/>
        <v>0</v>
      </c>
    </row>
    <row r="1392" spans="1:10" x14ac:dyDescent="0.25">
      <c r="A1392" t="s">
        <v>206</v>
      </c>
      <c r="B1392" t="s">
        <v>207</v>
      </c>
      <c r="C1392" t="s">
        <v>38</v>
      </c>
      <c r="D1392" t="s">
        <v>39</v>
      </c>
      <c r="J1392">
        <f t="shared" si="21"/>
        <v>0</v>
      </c>
    </row>
    <row r="1393" spans="1:10" x14ac:dyDescent="0.25">
      <c r="A1393" t="s">
        <v>206</v>
      </c>
      <c r="B1393" t="s">
        <v>207</v>
      </c>
      <c r="C1393" t="s">
        <v>40</v>
      </c>
      <c r="D1393" t="s">
        <v>41</v>
      </c>
      <c r="E1393">
        <v>85.188441999999995</v>
      </c>
      <c r="F1393">
        <v>84.155030999999994</v>
      </c>
      <c r="G1393">
        <v>83.710012000000006</v>
      </c>
      <c r="H1393">
        <v>86.611350999999999</v>
      </c>
      <c r="J1393">
        <f t="shared" si="21"/>
        <v>86.611350999999999</v>
      </c>
    </row>
    <row r="1394" spans="1:10" x14ac:dyDescent="0.25">
      <c r="A1394" t="s">
        <v>206</v>
      </c>
      <c r="B1394" t="s">
        <v>207</v>
      </c>
      <c r="C1394" t="s">
        <v>42</v>
      </c>
      <c r="D1394" t="s">
        <v>43</v>
      </c>
      <c r="J1394">
        <f t="shared" si="21"/>
        <v>0</v>
      </c>
    </row>
    <row r="1395" spans="1:10" x14ac:dyDescent="0.25">
      <c r="A1395" t="s">
        <v>206</v>
      </c>
      <c r="B1395" t="s">
        <v>207</v>
      </c>
      <c r="C1395" t="s">
        <v>44</v>
      </c>
      <c r="D1395" t="s">
        <v>45</v>
      </c>
      <c r="E1395">
        <v>9</v>
      </c>
      <c r="J1395">
        <f t="shared" si="21"/>
        <v>9</v>
      </c>
    </row>
    <row r="1396" spans="1:10" x14ac:dyDescent="0.25">
      <c r="A1396" t="s">
        <v>208</v>
      </c>
      <c r="B1396" t="s">
        <v>209</v>
      </c>
      <c r="C1396" t="s">
        <v>11</v>
      </c>
      <c r="D1396" t="s">
        <v>12</v>
      </c>
      <c r="G1396">
        <v>49.49</v>
      </c>
      <c r="J1396">
        <f t="shared" si="21"/>
        <v>49.49</v>
      </c>
    </row>
    <row r="1397" spans="1:10" x14ac:dyDescent="0.25">
      <c r="A1397" t="s">
        <v>208</v>
      </c>
      <c r="B1397" t="s">
        <v>209</v>
      </c>
      <c r="C1397" t="s">
        <v>14</v>
      </c>
      <c r="D1397" t="s">
        <v>15</v>
      </c>
      <c r="G1397">
        <v>38.69</v>
      </c>
      <c r="J1397">
        <f t="shared" si="21"/>
        <v>38.69</v>
      </c>
    </row>
    <row r="1398" spans="1:10" x14ac:dyDescent="0.25">
      <c r="A1398" t="s">
        <v>208</v>
      </c>
      <c r="B1398" t="s">
        <v>209</v>
      </c>
      <c r="C1398" t="s">
        <v>16</v>
      </c>
      <c r="D1398" t="s">
        <v>17</v>
      </c>
      <c r="G1398">
        <v>61</v>
      </c>
      <c r="J1398">
        <f t="shared" si="21"/>
        <v>61</v>
      </c>
    </row>
    <row r="1399" spans="1:10" x14ac:dyDescent="0.25">
      <c r="A1399" t="s">
        <v>208</v>
      </c>
      <c r="B1399" t="s">
        <v>209</v>
      </c>
      <c r="C1399" t="s">
        <v>18</v>
      </c>
      <c r="D1399" t="s">
        <v>19</v>
      </c>
      <c r="G1399">
        <v>34.479999999999997</v>
      </c>
      <c r="J1399">
        <f t="shared" si="21"/>
        <v>34.479999999999997</v>
      </c>
    </row>
    <row r="1400" spans="1:10" x14ac:dyDescent="0.25">
      <c r="A1400" t="s">
        <v>208</v>
      </c>
      <c r="B1400" t="s">
        <v>209</v>
      </c>
      <c r="C1400" t="s">
        <v>20</v>
      </c>
      <c r="D1400" t="s">
        <v>21</v>
      </c>
      <c r="G1400">
        <v>49.43</v>
      </c>
      <c r="J1400">
        <f t="shared" si="21"/>
        <v>49.43</v>
      </c>
    </row>
    <row r="1401" spans="1:10" x14ac:dyDescent="0.25">
      <c r="A1401" t="s">
        <v>208</v>
      </c>
      <c r="B1401" t="s">
        <v>209</v>
      </c>
      <c r="C1401" t="s">
        <v>22</v>
      </c>
      <c r="D1401" t="s">
        <v>23</v>
      </c>
      <c r="G1401">
        <v>39.11</v>
      </c>
      <c r="J1401">
        <f t="shared" si="21"/>
        <v>39.11</v>
      </c>
    </row>
    <row r="1402" spans="1:10" x14ac:dyDescent="0.25">
      <c r="A1402" t="s">
        <v>208</v>
      </c>
      <c r="B1402" t="s">
        <v>209</v>
      </c>
      <c r="C1402" t="s">
        <v>24</v>
      </c>
      <c r="D1402" t="s">
        <v>25</v>
      </c>
      <c r="J1402">
        <f t="shared" si="21"/>
        <v>0</v>
      </c>
    </row>
    <row r="1403" spans="1:10" x14ac:dyDescent="0.25">
      <c r="A1403" t="s">
        <v>208</v>
      </c>
      <c r="B1403" t="s">
        <v>209</v>
      </c>
      <c r="C1403" t="s">
        <v>26</v>
      </c>
      <c r="D1403" t="s">
        <v>27</v>
      </c>
      <c r="J1403">
        <f t="shared" si="21"/>
        <v>0</v>
      </c>
    </row>
    <row r="1404" spans="1:10" x14ac:dyDescent="0.25">
      <c r="A1404" t="s">
        <v>208</v>
      </c>
      <c r="B1404" t="s">
        <v>209</v>
      </c>
      <c r="C1404" t="s">
        <v>28</v>
      </c>
      <c r="D1404" t="s">
        <v>29</v>
      </c>
      <c r="E1404">
        <v>5</v>
      </c>
      <c r="J1404">
        <f t="shared" si="21"/>
        <v>5</v>
      </c>
    </row>
    <row r="1405" spans="1:10" x14ac:dyDescent="0.25">
      <c r="A1405" t="s">
        <v>208</v>
      </c>
      <c r="B1405" t="s">
        <v>209</v>
      </c>
      <c r="C1405" t="s">
        <v>30</v>
      </c>
      <c r="D1405" t="s">
        <v>31</v>
      </c>
      <c r="E1405">
        <v>78.878341504757401</v>
      </c>
      <c r="F1405">
        <v>101.39093176388801</v>
      </c>
      <c r="G1405">
        <v>84.156966462191406</v>
      </c>
      <c r="H1405">
        <v>76.635060953673403</v>
      </c>
      <c r="J1405">
        <f t="shared" si="21"/>
        <v>101.39093176388801</v>
      </c>
    </row>
    <row r="1406" spans="1:10" x14ac:dyDescent="0.25">
      <c r="A1406" t="s">
        <v>208</v>
      </c>
      <c r="B1406" t="s">
        <v>209</v>
      </c>
      <c r="C1406" t="s">
        <v>32</v>
      </c>
      <c r="D1406" t="s">
        <v>33</v>
      </c>
      <c r="J1406">
        <f t="shared" si="21"/>
        <v>0</v>
      </c>
    </row>
    <row r="1407" spans="1:10" x14ac:dyDescent="0.25">
      <c r="A1407" t="s">
        <v>208</v>
      </c>
      <c r="B1407" t="s">
        <v>209</v>
      </c>
      <c r="C1407" t="s">
        <v>34</v>
      </c>
      <c r="D1407" t="s">
        <v>35</v>
      </c>
      <c r="E1407">
        <v>21.904762268066399</v>
      </c>
      <c r="F1407">
        <v>24.761905670166001</v>
      </c>
      <c r="G1407">
        <v>22.380952835083001</v>
      </c>
      <c r="H1407">
        <v>21.698112487793001</v>
      </c>
      <c r="I1407">
        <v>22.1698112487793</v>
      </c>
      <c r="J1407">
        <f t="shared" si="21"/>
        <v>24.761905670166001</v>
      </c>
    </row>
    <row r="1408" spans="1:10" x14ac:dyDescent="0.25">
      <c r="A1408" t="s">
        <v>208</v>
      </c>
      <c r="B1408" t="s">
        <v>209</v>
      </c>
      <c r="C1408" t="s">
        <v>36</v>
      </c>
      <c r="D1408" t="s">
        <v>37</v>
      </c>
      <c r="J1408">
        <f t="shared" si="21"/>
        <v>0</v>
      </c>
    </row>
    <row r="1409" spans="1:10" x14ac:dyDescent="0.25">
      <c r="A1409" t="s">
        <v>208</v>
      </c>
      <c r="B1409" t="s">
        <v>209</v>
      </c>
      <c r="C1409" t="s">
        <v>38</v>
      </c>
      <c r="D1409" t="s">
        <v>39</v>
      </c>
      <c r="J1409">
        <f t="shared" si="21"/>
        <v>0</v>
      </c>
    </row>
    <row r="1410" spans="1:10" x14ac:dyDescent="0.25">
      <c r="A1410" t="s">
        <v>208</v>
      </c>
      <c r="B1410" t="s">
        <v>209</v>
      </c>
      <c r="C1410" t="s">
        <v>40</v>
      </c>
      <c r="D1410" t="s">
        <v>41</v>
      </c>
      <c r="E1410">
        <v>63.510173000000002</v>
      </c>
      <c r="F1410">
        <v>64.175445999999994</v>
      </c>
      <c r="G1410">
        <v>61.318165999999998</v>
      </c>
      <c r="H1410">
        <v>68.419985999999994</v>
      </c>
      <c r="J1410">
        <f t="shared" si="21"/>
        <v>68.419985999999994</v>
      </c>
    </row>
    <row r="1411" spans="1:10" x14ac:dyDescent="0.25">
      <c r="A1411" t="s">
        <v>208</v>
      </c>
      <c r="B1411" t="s">
        <v>209</v>
      </c>
      <c r="C1411" t="s">
        <v>42</v>
      </c>
      <c r="D1411" t="s">
        <v>43</v>
      </c>
      <c r="J1411">
        <f t="shared" ref="J1411:J1474" si="22">MAX(E1411:I1411)</f>
        <v>0</v>
      </c>
    </row>
    <row r="1412" spans="1:10" x14ac:dyDescent="0.25">
      <c r="A1412" t="s">
        <v>208</v>
      </c>
      <c r="B1412" t="s">
        <v>209</v>
      </c>
      <c r="C1412" t="s">
        <v>44</v>
      </c>
      <c r="D1412" t="s">
        <v>45</v>
      </c>
      <c r="E1412">
        <v>17</v>
      </c>
      <c r="J1412">
        <f t="shared" si="22"/>
        <v>17</v>
      </c>
    </row>
    <row r="1413" spans="1:10" x14ac:dyDescent="0.25">
      <c r="A1413" t="s">
        <v>210</v>
      </c>
      <c r="B1413" t="s">
        <v>211</v>
      </c>
      <c r="C1413" t="s">
        <v>11</v>
      </c>
      <c r="D1413" t="s">
        <v>12</v>
      </c>
      <c r="G1413">
        <v>47.79</v>
      </c>
      <c r="J1413">
        <f t="shared" si="22"/>
        <v>47.79</v>
      </c>
    </row>
    <row r="1414" spans="1:10" x14ac:dyDescent="0.25">
      <c r="A1414" t="s">
        <v>210</v>
      </c>
      <c r="B1414" t="s">
        <v>211</v>
      </c>
      <c r="C1414" t="s">
        <v>14</v>
      </c>
      <c r="D1414" t="s">
        <v>15</v>
      </c>
      <c r="G1414">
        <v>46.15</v>
      </c>
      <c r="J1414">
        <f t="shared" si="22"/>
        <v>46.15</v>
      </c>
    </row>
    <row r="1415" spans="1:10" x14ac:dyDescent="0.25">
      <c r="A1415" t="s">
        <v>210</v>
      </c>
      <c r="B1415" t="s">
        <v>211</v>
      </c>
      <c r="C1415" t="s">
        <v>16</v>
      </c>
      <c r="D1415" t="s">
        <v>17</v>
      </c>
      <c r="G1415">
        <v>49.52</v>
      </c>
      <c r="J1415">
        <f t="shared" si="22"/>
        <v>49.52</v>
      </c>
    </row>
    <row r="1416" spans="1:10" x14ac:dyDescent="0.25">
      <c r="A1416" t="s">
        <v>210</v>
      </c>
      <c r="B1416" t="s">
        <v>211</v>
      </c>
      <c r="C1416" t="s">
        <v>18</v>
      </c>
      <c r="D1416" t="s">
        <v>19</v>
      </c>
      <c r="G1416">
        <v>32.99</v>
      </c>
      <c r="J1416">
        <f t="shared" si="22"/>
        <v>32.99</v>
      </c>
    </row>
    <row r="1417" spans="1:10" x14ac:dyDescent="0.25">
      <c r="A1417" t="s">
        <v>210</v>
      </c>
      <c r="B1417" t="s">
        <v>211</v>
      </c>
      <c r="C1417" t="s">
        <v>20</v>
      </c>
      <c r="D1417" t="s">
        <v>21</v>
      </c>
      <c r="G1417">
        <v>55.68</v>
      </c>
      <c r="J1417">
        <f t="shared" si="22"/>
        <v>55.68</v>
      </c>
    </row>
    <row r="1418" spans="1:10" x14ac:dyDescent="0.25">
      <c r="A1418" t="s">
        <v>210</v>
      </c>
      <c r="B1418" t="s">
        <v>211</v>
      </c>
      <c r="C1418" t="s">
        <v>22</v>
      </c>
      <c r="D1418" t="s">
        <v>23</v>
      </c>
      <c r="G1418">
        <v>26.25</v>
      </c>
      <c r="J1418">
        <f t="shared" si="22"/>
        <v>26.25</v>
      </c>
    </row>
    <row r="1419" spans="1:10" x14ac:dyDescent="0.25">
      <c r="A1419" t="s">
        <v>210</v>
      </c>
      <c r="B1419" t="s">
        <v>211</v>
      </c>
      <c r="C1419" t="s">
        <v>24</v>
      </c>
      <c r="D1419" t="s">
        <v>25</v>
      </c>
      <c r="J1419">
        <f t="shared" si="22"/>
        <v>0</v>
      </c>
    </row>
    <row r="1420" spans="1:10" x14ac:dyDescent="0.25">
      <c r="A1420" t="s">
        <v>210</v>
      </c>
      <c r="B1420" t="s">
        <v>211</v>
      </c>
      <c r="C1420" t="s">
        <v>26</v>
      </c>
      <c r="D1420" t="s">
        <v>27</v>
      </c>
      <c r="J1420">
        <f t="shared" si="22"/>
        <v>0</v>
      </c>
    </row>
    <row r="1421" spans="1:10" x14ac:dyDescent="0.25">
      <c r="A1421" t="s">
        <v>210</v>
      </c>
      <c r="B1421" t="s">
        <v>211</v>
      </c>
      <c r="C1421" t="s">
        <v>28</v>
      </c>
      <c r="D1421" t="s">
        <v>29</v>
      </c>
      <c r="E1421">
        <v>4</v>
      </c>
      <c r="J1421">
        <f t="shared" si="22"/>
        <v>4</v>
      </c>
    </row>
    <row r="1422" spans="1:10" x14ac:dyDescent="0.25">
      <c r="A1422" t="s">
        <v>210</v>
      </c>
      <c r="B1422" t="s">
        <v>211</v>
      </c>
      <c r="C1422" t="s">
        <v>30</v>
      </c>
      <c r="D1422" t="s">
        <v>31</v>
      </c>
      <c r="J1422">
        <f t="shared" si="22"/>
        <v>0</v>
      </c>
    </row>
    <row r="1423" spans="1:10" x14ac:dyDescent="0.25">
      <c r="A1423" t="s">
        <v>210</v>
      </c>
      <c r="B1423" t="s">
        <v>211</v>
      </c>
      <c r="C1423" t="s">
        <v>32</v>
      </c>
      <c r="D1423" t="s">
        <v>33</v>
      </c>
      <c r="E1423">
        <v>5</v>
      </c>
      <c r="F1423">
        <v>5</v>
      </c>
      <c r="G1423">
        <v>5</v>
      </c>
      <c r="H1423">
        <v>5</v>
      </c>
      <c r="I1423">
        <v>5</v>
      </c>
      <c r="J1423">
        <f t="shared" si="22"/>
        <v>5</v>
      </c>
    </row>
    <row r="1424" spans="1:10" x14ac:dyDescent="0.25">
      <c r="A1424" t="s">
        <v>210</v>
      </c>
      <c r="B1424" t="s">
        <v>211</v>
      </c>
      <c r="C1424" t="s">
        <v>34</v>
      </c>
      <c r="D1424" t="s">
        <v>35</v>
      </c>
      <c r="E1424">
        <v>30</v>
      </c>
      <c r="F1424">
        <v>27.142856597900401</v>
      </c>
      <c r="G1424">
        <v>15.714285850524901</v>
      </c>
      <c r="H1424">
        <v>12.7358493804932</v>
      </c>
      <c r="I1424">
        <v>11.792452812194799</v>
      </c>
      <c r="J1424">
        <f t="shared" si="22"/>
        <v>30</v>
      </c>
    </row>
    <row r="1425" spans="1:10" x14ac:dyDescent="0.25">
      <c r="A1425" t="s">
        <v>210</v>
      </c>
      <c r="B1425" t="s">
        <v>211</v>
      </c>
      <c r="C1425" t="s">
        <v>36</v>
      </c>
      <c r="D1425" t="s">
        <v>37</v>
      </c>
      <c r="J1425">
        <f t="shared" si="22"/>
        <v>0</v>
      </c>
    </row>
    <row r="1426" spans="1:10" x14ac:dyDescent="0.25">
      <c r="A1426" t="s">
        <v>210</v>
      </c>
      <c r="B1426" t="s">
        <v>211</v>
      </c>
      <c r="C1426" t="s">
        <v>38</v>
      </c>
      <c r="D1426" t="s">
        <v>39</v>
      </c>
      <c r="J1426">
        <f t="shared" si="22"/>
        <v>0</v>
      </c>
    </row>
    <row r="1427" spans="1:10" x14ac:dyDescent="0.25">
      <c r="A1427" t="s">
        <v>210</v>
      </c>
      <c r="B1427" t="s">
        <v>211</v>
      </c>
      <c r="C1427" t="s">
        <v>40</v>
      </c>
      <c r="D1427" t="s">
        <v>41</v>
      </c>
      <c r="E1427">
        <v>73.603066999999996</v>
      </c>
      <c r="F1427">
        <v>73.788591999999994</v>
      </c>
      <c r="G1427">
        <v>71.746903000000003</v>
      </c>
      <c r="H1427">
        <v>74.308790000000002</v>
      </c>
      <c r="J1427">
        <f t="shared" si="22"/>
        <v>74.308790000000002</v>
      </c>
    </row>
    <row r="1428" spans="1:10" x14ac:dyDescent="0.25">
      <c r="A1428" t="s">
        <v>210</v>
      </c>
      <c r="B1428" t="s">
        <v>211</v>
      </c>
      <c r="C1428" t="s">
        <v>42</v>
      </c>
      <c r="D1428" t="s">
        <v>43</v>
      </c>
      <c r="J1428">
        <f t="shared" si="22"/>
        <v>0</v>
      </c>
    </row>
    <row r="1429" spans="1:10" x14ac:dyDescent="0.25">
      <c r="A1429" t="s">
        <v>210</v>
      </c>
      <c r="B1429" t="s">
        <v>211</v>
      </c>
      <c r="C1429" t="s">
        <v>44</v>
      </c>
      <c r="D1429" t="s">
        <v>45</v>
      </c>
      <c r="E1429">
        <v>7</v>
      </c>
      <c r="J1429">
        <f t="shared" si="22"/>
        <v>7</v>
      </c>
    </row>
    <row r="1430" spans="1:10" x14ac:dyDescent="0.25">
      <c r="A1430" t="s">
        <v>212</v>
      </c>
      <c r="B1430" t="s">
        <v>213</v>
      </c>
      <c r="C1430" t="s">
        <v>11</v>
      </c>
      <c r="D1430" t="s">
        <v>12</v>
      </c>
      <c r="G1430">
        <v>71.349999999999994</v>
      </c>
      <c r="J1430">
        <f t="shared" si="22"/>
        <v>71.349999999999994</v>
      </c>
    </row>
    <row r="1431" spans="1:10" x14ac:dyDescent="0.25">
      <c r="A1431" t="s">
        <v>212</v>
      </c>
      <c r="B1431" t="s">
        <v>213</v>
      </c>
      <c r="C1431" t="s">
        <v>14</v>
      </c>
      <c r="D1431" t="s">
        <v>15</v>
      </c>
      <c r="G1431">
        <v>69.31</v>
      </c>
      <c r="J1431">
        <f t="shared" si="22"/>
        <v>69.31</v>
      </c>
    </row>
    <row r="1432" spans="1:10" x14ac:dyDescent="0.25">
      <c r="A1432" t="s">
        <v>212</v>
      </c>
      <c r="B1432" t="s">
        <v>213</v>
      </c>
      <c r="C1432" t="s">
        <v>16</v>
      </c>
      <c r="D1432" t="s">
        <v>17</v>
      </c>
      <c r="G1432">
        <v>73.67</v>
      </c>
      <c r="J1432">
        <f t="shared" si="22"/>
        <v>73.67</v>
      </c>
    </row>
    <row r="1433" spans="1:10" x14ac:dyDescent="0.25">
      <c r="A1433" t="s">
        <v>212</v>
      </c>
      <c r="B1433" t="s">
        <v>213</v>
      </c>
      <c r="C1433" t="s">
        <v>18</v>
      </c>
      <c r="D1433" t="s">
        <v>19</v>
      </c>
      <c r="G1433">
        <v>56.38</v>
      </c>
      <c r="J1433">
        <f t="shared" si="22"/>
        <v>56.38</v>
      </c>
    </row>
    <row r="1434" spans="1:10" x14ac:dyDescent="0.25">
      <c r="A1434" t="s">
        <v>212</v>
      </c>
      <c r="B1434" t="s">
        <v>213</v>
      </c>
      <c r="C1434" t="s">
        <v>20</v>
      </c>
      <c r="D1434" t="s">
        <v>21</v>
      </c>
      <c r="G1434">
        <v>55.61</v>
      </c>
      <c r="J1434">
        <f t="shared" si="22"/>
        <v>55.61</v>
      </c>
    </row>
    <row r="1435" spans="1:10" x14ac:dyDescent="0.25">
      <c r="A1435" t="s">
        <v>212</v>
      </c>
      <c r="B1435" t="s">
        <v>213</v>
      </c>
      <c r="C1435" t="s">
        <v>22</v>
      </c>
      <c r="D1435" t="s">
        <v>23</v>
      </c>
      <c r="G1435">
        <v>61.29</v>
      </c>
      <c r="J1435">
        <f t="shared" si="22"/>
        <v>61.29</v>
      </c>
    </row>
    <row r="1436" spans="1:10" x14ac:dyDescent="0.25">
      <c r="A1436" t="s">
        <v>212</v>
      </c>
      <c r="B1436" t="s">
        <v>213</v>
      </c>
      <c r="C1436" t="s">
        <v>24</v>
      </c>
      <c r="D1436" t="s">
        <v>25</v>
      </c>
      <c r="J1436">
        <f t="shared" si="22"/>
        <v>0</v>
      </c>
    </row>
    <row r="1437" spans="1:10" x14ac:dyDescent="0.25">
      <c r="A1437" t="s">
        <v>212</v>
      </c>
      <c r="B1437" t="s">
        <v>213</v>
      </c>
      <c r="C1437" t="s">
        <v>26</v>
      </c>
      <c r="D1437" t="s">
        <v>27</v>
      </c>
      <c r="J1437">
        <f t="shared" si="22"/>
        <v>0</v>
      </c>
    </row>
    <row r="1438" spans="1:10" x14ac:dyDescent="0.25">
      <c r="A1438" t="s">
        <v>212</v>
      </c>
      <c r="B1438" t="s">
        <v>213</v>
      </c>
      <c r="C1438" t="s">
        <v>28</v>
      </c>
      <c r="D1438" t="s">
        <v>29</v>
      </c>
      <c r="E1438">
        <v>5</v>
      </c>
      <c r="J1438">
        <f t="shared" si="22"/>
        <v>5</v>
      </c>
    </row>
    <row r="1439" spans="1:10" x14ac:dyDescent="0.25">
      <c r="A1439" t="s">
        <v>212</v>
      </c>
      <c r="B1439" t="s">
        <v>213</v>
      </c>
      <c r="C1439" t="s">
        <v>30</v>
      </c>
      <c r="D1439" t="s">
        <v>31</v>
      </c>
      <c r="J1439">
        <f t="shared" si="22"/>
        <v>0</v>
      </c>
    </row>
    <row r="1440" spans="1:10" x14ac:dyDescent="0.25">
      <c r="A1440" t="s">
        <v>212</v>
      </c>
      <c r="B1440" t="s">
        <v>213</v>
      </c>
      <c r="C1440" t="s">
        <v>32</v>
      </c>
      <c r="D1440" t="s">
        <v>33</v>
      </c>
      <c r="E1440">
        <v>7</v>
      </c>
      <c r="F1440">
        <v>7</v>
      </c>
      <c r="G1440">
        <v>7</v>
      </c>
      <c r="H1440">
        <v>7</v>
      </c>
      <c r="I1440">
        <v>7</v>
      </c>
      <c r="J1440">
        <f t="shared" si="22"/>
        <v>7</v>
      </c>
    </row>
    <row r="1441" spans="1:10" x14ac:dyDescent="0.25">
      <c r="A1441" t="s">
        <v>212</v>
      </c>
      <c r="B1441" t="s">
        <v>213</v>
      </c>
      <c r="C1441" t="s">
        <v>34</v>
      </c>
      <c r="D1441" t="s">
        <v>35</v>
      </c>
      <c r="E1441">
        <v>62.857143402099602</v>
      </c>
      <c r="F1441">
        <v>61.904762268066399</v>
      </c>
      <c r="G1441">
        <v>60.476188659667997</v>
      </c>
      <c r="H1441">
        <v>60.849056243896499</v>
      </c>
      <c r="I1441">
        <v>58.962265014648402</v>
      </c>
      <c r="J1441">
        <f t="shared" si="22"/>
        <v>62.857143402099602</v>
      </c>
    </row>
    <row r="1442" spans="1:10" x14ac:dyDescent="0.25">
      <c r="A1442" t="s">
        <v>212</v>
      </c>
      <c r="B1442" t="s">
        <v>213</v>
      </c>
      <c r="C1442" t="s">
        <v>36</v>
      </c>
      <c r="D1442" t="s">
        <v>37</v>
      </c>
      <c r="J1442">
        <f t="shared" si="22"/>
        <v>0</v>
      </c>
    </row>
    <row r="1443" spans="1:10" x14ac:dyDescent="0.25">
      <c r="A1443" t="s">
        <v>212</v>
      </c>
      <c r="B1443" t="s">
        <v>213</v>
      </c>
      <c r="C1443" t="s">
        <v>38</v>
      </c>
      <c r="D1443" t="s">
        <v>39</v>
      </c>
      <c r="J1443">
        <f t="shared" si="22"/>
        <v>0</v>
      </c>
    </row>
    <row r="1444" spans="1:10" x14ac:dyDescent="0.25">
      <c r="A1444" t="s">
        <v>212</v>
      </c>
      <c r="B1444" t="s">
        <v>213</v>
      </c>
      <c r="C1444" t="s">
        <v>40</v>
      </c>
      <c r="D1444" t="s">
        <v>41</v>
      </c>
      <c r="E1444">
        <v>64.030135000000001</v>
      </c>
      <c r="F1444">
        <v>65.669756000000007</v>
      </c>
      <c r="G1444">
        <v>57.780428999999998</v>
      </c>
      <c r="H1444">
        <v>65.976025000000007</v>
      </c>
      <c r="J1444">
        <f t="shared" si="22"/>
        <v>65.976025000000007</v>
      </c>
    </row>
    <row r="1445" spans="1:10" x14ac:dyDescent="0.25">
      <c r="A1445" t="s">
        <v>212</v>
      </c>
      <c r="B1445" t="s">
        <v>213</v>
      </c>
      <c r="C1445" t="s">
        <v>42</v>
      </c>
      <c r="D1445" t="s">
        <v>43</v>
      </c>
      <c r="J1445">
        <f t="shared" si="22"/>
        <v>0</v>
      </c>
    </row>
    <row r="1446" spans="1:10" x14ac:dyDescent="0.25">
      <c r="A1446" t="s">
        <v>212</v>
      </c>
      <c r="B1446" t="s">
        <v>213</v>
      </c>
      <c r="C1446" t="s">
        <v>44</v>
      </c>
      <c r="D1446" t="s">
        <v>45</v>
      </c>
      <c r="E1446">
        <v>54</v>
      </c>
      <c r="J1446">
        <f t="shared" si="22"/>
        <v>54</v>
      </c>
    </row>
    <row r="1447" spans="1:10" x14ac:dyDescent="0.25">
      <c r="A1447" t="s">
        <v>214</v>
      </c>
      <c r="B1447" t="s">
        <v>215</v>
      </c>
      <c r="C1447" t="s">
        <v>11</v>
      </c>
      <c r="D1447" t="s">
        <v>12</v>
      </c>
      <c r="G1447">
        <v>54</v>
      </c>
      <c r="J1447">
        <f t="shared" si="22"/>
        <v>54</v>
      </c>
    </row>
    <row r="1448" spans="1:10" x14ac:dyDescent="0.25">
      <c r="A1448" t="s">
        <v>214</v>
      </c>
      <c r="B1448" t="s">
        <v>215</v>
      </c>
      <c r="C1448" t="s">
        <v>14</v>
      </c>
      <c r="D1448" t="s">
        <v>15</v>
      </c>
      <c r="G1448">
        <v>49.9</v>
      </c>
      <c r="J1448">
        <f t="shared" si="22"/>
        <v>49.9</v>
      </c>
    </row>
    <row r="1449" spans="1:10" x14ac:dyDescent="0.25">
      <c r="A1449" t="s">
        <v>214</v>
      </c>
      <c r="B1449" t="s">
        <v>215</v>
      </c>
      <c r="C1449" t="s">
        <v>16</v>
      </c>
      <c r="D1449" t="s">
        <v>17</v>
      </c>
      <c r="G1449">
        <v>58.61</v>
      </c>
      <c r="J1449">
        <f t="shared" si="22"/>
        <v>58.61</v>
      </c>
    </row>
    <row r="1450" spans="1:10" x14ac:dyDescent="0.25">
      <c r="A1450" t="s">
        <v>214</v>
      </c>
      <c r="B1450" t="s">
        <v>215</v>
      </c>
      <c r="C1450" t="s">
        <v>18</v>
      </c>
      <c r="D1450" t="s">
        <v>19</v>
      </c>
      <c r="G1450">
        <v>44.55</v>
      </c>
      <c r="J1450">
        <f t="shared" si="22"/>
        <v>44.55</v>
      </c>
    </row>
    <row r="1451" spans="1:10" x14ac:dyDescent="0.25">
      <c r="A1451" t="s">
        <v>214</v>
      </c>
      <c r="B1451" t="s">
        <v>215</v>
      </c>
      <c r="C1451" t="s">
        <v>20</v>
      </c>
      <c r="D1451" t="s">
        <v>21</v>
      </c>
      <c r="G1451">
        <v>42.23</v>
      </c>
      <c r="J1451">
        <f t="shared" si="22"/>
        <v>42.23</v>
      </c>
    </row>
    <row r="1452" spans="1:10" x14ac:dyDescent="0.25">
      <c r="A1452" t="s">
        <v>214</v>
      </c>
      <c r="B1452" t="s">
        <v>215</v>
      </c>
      <c r="C1452" t="s">
        <v>22</v>
      </c>
      <c r="D1452" t="s">
        <v>23</v>
      </c>
      <c r="G1452">
        <v>51</v>
      </c>
      <c r="J1452">
        <f t="shared" si="22"/>
        <v>51</v>
      </c>
    </row>
    <row r="1453" spans="1:10" x14ac:dyDescent="0.25">
      <c r="A1453" t="s">
        <v>214</v>
      </c>
      <c r="B1453" t="s">
        <v>215</v>
      </c>
      <c r="C1453" t="s">
        <v>24</v>
      </c>
      <c r="D1453" t="s">
        <v>25</v>
      </c>
      <c r="J1453">
        <f t="shared" si="22"/>
        <v>0</v>
      </c>
    </row>
    <row r="1454" spans="1:10" x14ac:dyDescent="0.25">
      <c r="A1454" t="s">
        <v>214</v>
      </c>
      <c r="B1454" t="s">
        <v>215</v>
      </c>
      <c r="C1454" t="s">
        <v>26</v>
      </c>
      <c r="D1454" t="s">
        <v>27</v>
      </c>
      <c r="I1454">
        <v>6.2</v>
      </c>
      <c r="J1454">
        <f t="shared" si="22"/>
        <v>6.2</v>
      </c>
    </row>
    <row r="1455" spans="1:10" x14ac:dyDescent="0.25">
      <c r="A1455" t="s">
        <v>214</v>
      </c>
      <c r="B1455" t="s">
        <v>215</v>
      </c>
      <c r="C1455" t="s">
        <v>28</v>
      </c>
      <c r="D1455" t="s">
        <v>29</v>
      </c>
      <c r="E1455">
        <v>6</v>
      </c>
      <c r="J1455">
        <f t="shared" si="22"/>
        <v>6</v>
      </c>
    </row>
    <row r="1456" spans="1:10" x14ac:dyDescent="0.25">
      <c r="A1456" t="s">
        <v>214</v>
      </c>
      <c r="B1456" t="s">
        <v>215</v>
      </c>
      <c r="C1456" t="s">
        <v>30</v>
      </c>
      <c r="D1456" t="s">
        <v>31</v>
      </c>
      <c r="E1456">
        <v>31.7771473472895</v>
      </c>
      <c r="F1456">
        <v>39.048563128449302</v>
      </c>
      <c r="G1456">
        <v>39.9222686422289</v>
      </c>
      <c r="J1456">
        <f t="shared" si="22"/>
        <v>39.9222686422289</v>
      </c>
    </row>
    <row r="1457" spans="1:10" x14ac:dyDescent="0.25">
      <c r="A1457" t="s">
        <v>214</v>
      </c>
      <c r="B1457" t="s">
        <v>215</v>
      </c>
      <c r="C1457" t="s">
        <v>32</v>
      </c>
      <c r="D1457" t="s">
        <v>33</v>
      </c>
      <c r="E1457">
        <v>9</v>
      </c>
      <c r="F1457">
        <v>9</v>
      </c>
      <c r="G1457">
        <v>9</v>
      </c>
      <c r="H1457">
        <v>9</v>
      </c>
      <c r="I1457">
        <v>9</v>
      </c>
      <c r="J1457">
        <f t="shared" si="22"/>
        <v>9</v>
      </c>
    </row>
    <row r="1458" spans="1:10" x14ac:dyDescent="0.25">
      <c r="A1458" t="s">
        <v>214</v>
      </c>
      <c r="B1458" t="s">
        <v>215</v>
      </c>
      <c r="C1458" t="s">
        <v>34</v>
      </c>
      <c r="D1458" t="s">
        <v>35</v>
      </c>
      <c r="E1458">
        <v>27.142856597900401</v>
      </c>
      <c r="F1458">
        <v>29.0476188659668</v>
      </c>
      <c r="G1458">
        <v>32.380950927734403</v>
      </c>
      <c r="H1458">
        <v>33.962265014648402</v>
      </c>
      <c r="I1458">
        <v>33.962265014648402</v>
      </c>
      <c r="J1458">
        <f t="shared" si="22"/>
        <v>33.962265014648402</v>
      </c>
    </row>
    <row r="1459" spans="1:10" x14ac:dyDescent="0.25">
      <c r="A1459" t="s">
        <v>214</v>
      </c>
      <c r="B1459" t="s">
        <v>215</v>
      </c>
      <c r="C1459" t="s">
        <v>36</v>
      </c>
      <c r="D1459" t="s">
        <v>37</v>
      </c>
      <c r="J1459">
        <f t="shared" si="22"/>
        <v>0</v>
      </c>
    </row>
    <row r="1460" spans="1:10" x14ac:dyDescent="0.25">
      <c r="A1460" t="s">
        <v>214</v>
      </c>
      <c r="B1460" t="s">
        <v>215</v>
      </c>
      <c r="C1460" t="s">
        <v>38</v>
      </c>
      <c r="D1460" t="s">
        <v>39</v>
      </c>
      <c r="J1460">
        <f t="shared" si="22"/>
        <v>0</v>
      </c>
    </row>
    <row r="1461" spans="1:10" x14ac:dyDescent="0.25">
      <c r="A1461" t="s">
        <v>214</v>
      </c>
      <c r="B1461" t="s">
        <v>215</v>
      </c>
      <c r="C1461" t="s">
        <v>40</v>
      </c>
      <c r="D1461" t="s">
        <v>41</v>
      </c>
      <c r="E1461">
        <v>75.363307000000006</v>
      </c>
      <c r="F1461">
        <v>75.300244000000006</v>
      </c>
      <c r="G1461">
        <v>73.200226999999998</v>
      </c>
      <c r="H1461">
        <v>76.872815000000003</v>
      </c>
      <c r="J1461">
        <f t="shared" si="22"/>
        <v>76.872815000000003</v>
      </c>
    </row>
    <row r="1462" spans="1:10" x14ac:dyDescent="0.25">
      <c r="A1462" t="s">
        <v>214</v>
      </c>
      <c r="B1462" t="s">
        <v>215</v>
      </c>
      <c r="C1462" t="s">
        <v>42</v>
      </c>
      <c r="D1462" t="s">
        <v>43</v>
      </c>
      <c r="J1462">
        <f t="shared" si="22"/>
        <v>0</v>
      </c>
    </row>
    <row r="1463" spans="1:10" x14ac:dyDescent="0.25">
      <c r="A1463" t="s">
        <v>214</v>
      </c>
      <c r="B1463" t="s">
        <v>215</v>
      </c>
      <c r="C1463" t="s">
        <v>44</v>
      </c>
      <c r="D1463" t="s">
        <v>45</v>
      </c>
      <c r="E1463">
        <v>22.5</v>
      </c>
      <c r="J1463">
        <f t="shared" si="22"/>
        <v>22.5</v>
      </c>
    </row>
    <row r="1464" spans="1:10" x14ac:dyDescent="0.25">
      <c r="A1464" t="s">
        <v>216</v>
      </c>
      <c r="B1464" t="s">
        <v>217</v>
      </c>
      <c r="C1464" t="s">
        <v>11</v>
      </c>
      <c r="D1464" t="s">
        <v>12</v>
      </c>
      <c r="G1464">
        <v>99.73</v>
      </c>
      <c r="J1464">
        <f t="shared" si="22"/>
        <v>99.73</v>
      </c>
    </row>
    <row r="1465" spans="1:10" x14ac:dyDescent="0.25">
      <c r="A1465" t="s">
        <v>216</v>
      </c>
      <c r="B1465" t="s">
        <v>217</v>
      </c>
      <c r="C1465" t="s">
        <v>14</v>
      </c>
      <c r="D1465" t="s">
        <v>15</v>
      </c>
      <c r="G1465">
        <v>99.47</v>
      </c>
      <c r="J1465">
        <f t="shared" si="22"/>
        <v>99.47</v>
      </c>
    </row>
    <row r="1466" spans="1:10" x14ac:dyDescent="0.25">
      <c r="A1466" t="s">
        <v>216</v>
      </c>
      <c r="B1466" t="s">
        <v>217</v>
      </c>
      <c r="C1466" t="s">
        <v>16</v>
      </c>
      <c r="D1466" t="s">
        <v>17</v>
      </c>
      <c r="G1466">
        <v>100</v>
      </c>
      <c r="J1466">
        <f t="shared" si="22"/>
        <v>100</v>
      </c>
    </row>
    <row r="1467" spans="1:10" x14ac:dyDescent="0.25">
      <c r="A1467" t="s">
        <v>216</v>
      </c>
      <c r="B1467" t="s">
        <v>217</v>
      </c>
      <c r="C1467" t="s">
        <v>18</v>
      </c>
      <c r="D1467" t="s">
        <v>19</v>
      </c>
      <c r="G1467">
        <v>99.33</v>
      </c>
      <c r="J1467">
        <f t="shared" si="22"/>
        <v>99.33</v>
      </c>
    </row>
    <row r="1468" spans="1:10" x14ac:dyDescent="0.25">
      <c r="A1468" t="s">
        <v>216</v>
      </c>
      <c r="B1468" t="s">
        <v>217</v>
      </c>
      <c r="C1468" t="s">
        <v>20</v>
      </c>
      <c r="D1468" t="s">
        <v>21</v>
      </c>
      <c r="G1468">
        <v>98.18</v>
      </c>
      <c r="J1468">
        <f t="shared" si="22"/>
        <v>98.18</v>
      </c>
    </row>
    <row r="1469" spans="1:10" x14ac:dyDescent="0.25">
      <c r="A1469" t="s">
        <v>216</v>
      </c>
      <c r="B1469" t="s">
        <v>217</v>
      </c>
      <c r="C1469" t="s">
        <v>22</v>
      </c>
      <c r="D1469" t="s">
        <v>23</v>
      </c>
      <c r="G1469">
        <v>100</v>
      </c>
      <c r="J1469">
        <f t="shared" si="22"/>
        <v>100</v>
      </c>
    </row>
    <row r="1470" spans="1:10" x14ac:dyDescent="0.25">
      <c r="A1470" t="s">
        <v>216</v>
      </c>
      <c r="B1470" t="s">
        <v>217</v>
      </c>
      <c r="C1470" t="s">
        <v>24</v>
      </c>
      <c r="D1470" t="s">
        <v>25</v>
      </c>
      <c r="J1470">
        <f t="shared" si="22"/>
        <v>0</v>
      </c>
    </row>
    <row r="1471" spans="1:10" x14ac:dyDescent="0.25">
      <c r="A1471" t="s">
        <v>216</v>
      </c>
      <c r="B1471" t="s">
        <v>217</v>
      </c>
      <c r="C1471" t="s">
        <v>26</v>
      </c>
      <c r="D1471" t="s">
        <v>27</v>
      </c>
      <c r="F1471">
        <v>0.3</v>
      </c>
      <c r="J1471">
        <f t="shared" si="22"/>
        <v>0.3</v>
      </c>
    </row>
    <row r="1472" spans="1:10" x14ac:dyDescent="0.25">
      <c r="A1472" t="s">
        <v>216</v>
      </c>
      <c r="B1472" t="s">
        <v>217</v>
      </c>
      <c r="C1472" t="s">
        <v>28</v>
      </c>
      <c r="D1472" t="s">
        <v>29</v>
      </c>
      <c r="E1472">
        <v>4</v>
      </c>
      <c r="J1472">
        <f t="shared" si="22"/>
        <v>4</v>
      </c>
    </row>
    <row r="1473" spans="1:10" x14ac:dyDescent="0.25">
      <c r="A1473" t="s">
        <v>216</v>
      </c>
      <c r="B1473" t="s">
        <v>217</v>
      </c>
      <c r="C1473" t="s">
        <v>30</v>
      </c>
      <c r="D1473" t="s">
        <v>31</v>
      </c>
      <c r="J1473">
        <f t="shared" si="22"/>
        <v>0</v>
      </c>
    </row>
    <row r="1474" spans="1:10" x14ac:dyDescent="0.25">
      <c r="A1474" t="s">
        <v>216</v>
      </c>
      <c r="B1474" t="s">
        <v>217</v>
      </c>
      <c r="C1474" t="s">
        <v>32</v>
      </c>
      <c r="D1474" t="s">
        <v>33</v>
      </c>
      <c r="E1474">
        <v>13</v>
      </c>
      <c r="F1474">
        <v>13</v>
      </c>
      <c r="G1474">
        <v>13</v>
      </c>
      <c r="H1474">
        <v>13</v>
      </c>
      <c r="I1474">
        <v>13</v>
      </c>
      <c r="J1474">
        <f t="shared" si="22"/>
        <v>13</v>
      </c>
    </row>
    <row r="1475" spans="1:10" x14ac:dyDescent="0.25">
      <c r="A1475" t="s">
        <v>216</v>
      </c>
      <c r="B1475" t="s">
        <v>217</v>
      </c>
      <c r="C1475" t="s">
        <v>34</v>
      </c>
      <c r="D1475" t="s">
        <v>35</v>
      </c>
      <c r="E1475">
        <v>95.714286804199205</v>
      </c>
      <c r="F1475">
        <v>96.190475463867202</v>
      </c>
      <c r="G1475">
        <v>97.142860412597699</v>
      </c>
      <c r="H1475">
        <v>96.698112487792997</v>
      </c>
      <c r="I1475">
        <v>96.226417541503906</v>
      </c>
      <c r="J1475">
        <f t="shared" ref="J1475:J1538" si="23">MAX(E1475:I1475)</f>
        <v>97.142860412597699</v>
      </c>
    </row>
    <row r="1476" spans="1:10" x14ac:dyDescent="0.25">
      <c r="A1476" t="s">
        <v>216</v>
      </c>
      <c r="B1476" t="s">
        <v>217</v>
      </c>
      <c r="C1476" t="s">
        <v>36</v>
      </c>
      <c r="D1476" t="s">
        <v>37</v>
      </c>
      <c r="J1476">
        <f t="shared" si="23"/>
        <v>0</v>
      </c>
    </row>
    <row r="1477" spans="1:10" x14ac:dyDescent="0.25">
      <c r="A1477" t="s">
        <v>216</v>
      </c>
      <c r="B1477" t="s">
        <v>217</v>
      </c>
      <c r="C1477" t="s">
        <v>38</v>
      </c>
      <c r="D1477" t="s">
        <v>39</v>
      </c>
      <c r="J1477">
        <f t="shared" si="23"/>
        <v>0</v>
      </c>
    </row>
    <row r="1478" spans="1:10" x14ac:dyDescent="0.25">
      <c r="A1478" t="s">
        <v>216</v>
      </c>
      <c r="B1478" t="s">
        <v>217</v>
      </c>
      <c r="C1478" t="s">
        <v>40</v>
      </c>
      <c r="D1478" t="s">
        <v>41</v>
      </c>
      <c r="E1478">
        <v>92.255696</v>
      </c>
      <c r="F1478">
        <v>92.238207000000003</v>
      </c>
      <c r="G1478">
        <v>91.829492000000002</v>
      </c>
      <c r="H1478">
        <v>92.390504000000007</v>
      </c>
      <c r="J1478">
        <f t="shared" si="23"/>
        <v>92.390504000000007</v>
      </c>
    </row>
    <row r="1479" spans="1:10" x14ac:dyDescent="0.25">
      <c r="A1479" t="s">
        <v>216</v>
      </c>
      <c r="B1479" t="s">
        <v>217</v>
      </c>
      <c r="C1479" t="s">
        <v>42</v>
      </c>
      <c r="D1479" t="s">
        <v>43</v>
      </c>
      <c r="J1479">
        <f t="shared" si="23"/>
        <v>0</v>
      </c>
    </row>
    <row r="1480" spans="1:10" x14ac:dyDescent="0.25">
      <c r="A1480" t="s">
        <v>216</v>
      </c>
      <c r="B1480" t="s">
        <v>217</v>
      </c>
      <c r="C1480" t="s">
        <v>44</v>
      </c>
      <c r="D1480" t="s">
        <v>45</v>
      </c>
      <c r="E1480">
        <v>3.5</v>
      </c>
      <c r="J1480">
        <f t="shared" si="23"/>
        <v>3.5</v>
      </c>
    </row>
    <row r="1481" spans="1:10" x14ac:dyDescent="0.25">
      <c r="A1481" t="s">
        <v>218</v>
      </c>
      <c r="B1481" t="s">
        <v>219</v>
      </c>
      <c r="C1481" t="s">
        <v>11</v>
      </c>
      <c r="D1481" t="s">
        <v>12</v>
      </c>
      <c r="G1481">
        <v>98.75</v>
      </c>
      <c r="J1481">
        <f t="shared" si="23"/>
        <v>98.75</v>
      </c>
    </row>
    <row r="1482" spans="1:10" x14ac:dyDescent="0.25">
      <c r="A1482" t="s">
        <v>218</v>
      </c>
      <c r="B1482" t="s">
        <v>219</v>
      </c>
      <c r="C1482" t="s">
        <v>14</v>
      </c>
      <c r="D1482" t="s">
        <v>15</v>
      </c>
      <c r="G1482">
        <v>99.24</v>
      </c>
      <c r="J1482">
        <f t="shared" si="23"/>
        <v>99.24</v>
      </c>
    </row>
    <row r="1483" spans="1:10" x14ac:dyDescent="0.25">
      <c r="A1483" t="s">
        <v>218</v>
      </c>
      <c r="B1483" t="s">
        <v>219</v>
      </c>
      <c r="C1483" t="s">
        <v>16</v>
      </c>
      <c r="D1483" t="s">
        <v>17</v>
      </c>
      <c r="G1483">
        <v>98.23</v>
      </c>
      <c r="J1483">
        <f t="shared" si="23"/>
        <v>98.23</v>
      </c>
    </row>
    <row r="1484" spans="1:10" x14ac:dyDescent="0.25">
      <c r="A1484" t="s">
        <v>218</v>
      </c>
      <c r="B1484" t="s">
        <v>219</v>
      </c>
      <c r="C1484" t="s">
        <v>18</v>
      </c>
      <c r="D1484" t="s">
        <v>19</v>
      </c>
      <c r="G1484">
        <v>96.87</v>
      </c>
      <c r="J1484">
        <f t="shared" si="23"/>
        <v>96.87</v>
      </c>
    </row>
    <row r="1485" spans="1:10" x14ac:dyDescent="0.25">
      <c r="A1485" t="s">
        <v>218</v>
      </c>
      <c r="B1485" t="s">
        <v>219</v>
      </c>
      <c r="C1485" t="s">
        <v>20</v>
      </c>
      <c r="D1485" t="s">
        <v>21</v>
      </c>
      <c r="G1485">
        <v>94.46</v>
      </c>
      <c r="J1485">
        <f t="shared" si="23"/>
        <v>94.46</v>
      </c>
    </row>
    <row r="1486" spans="1:10" x14ac:dyDescent="0.25">
      <c r="A1486" t="s">
        <v>218</v>
      </c>
      <c r="B1486" t="s">
        <v>219</v>
      </c>
      <c r="C1486" t="s">
        <v>22</v>
      </c>
      <c r="D1486" t="s">
        <v>23</v>
      </c>
      <c r="G1486">
        <v>96.53</v>
      </c>
      <c r="J1486">
        <f t="shared" si="23"/>
        <v>96.53</v>
      </c>
    </row>
    <row r="1487" spans="1:10" x14ac:dyDescent="0.25">
      <c r="A1487" t="s">
        <v>218</v>
      </c>
      <c r="B1487" t="s">
        <v>219</v>
      </c>
      <c r="C1487" t="s">
        <v>24</v>
      </c>
      <c r="D1487" t="s">
        <v>25</v>
      </c>
      <c r="J1487">
        <f t="shared" si="23"/>
        <v>0</v>
      </c>
    </row>
    <row r="1488" spans="1:10" x14ac:dyDescent="0.25">
      <c r="A1488" t="s">
        <v>218</v>
      </c>
      <c r="B1488" t="s">
        <v>219</v>
      </c>
      <c r="C1488" t="s">
        <v>26</v>
      </c>
      <c r="D1488" t="s">
        <v>27</v>
      </c>
      <c r="I1488">
        <v>4</v>
      </c>
      <c r="J1488">
        <f t="shared" si="23"/>
        <v>4</v>
      </c>
    </row>
    <row r="1489" spans="1:10" x14ac:dyDescent="0.25">
      <c r="A1489" t="s">
        <v>218</v>
      </c>
      <c r="B1489" t="s">
        <v>219</v>
      </c>
      <c r="C1489" t="s">
        <v>28</v>
      </c>
      <c r="D1489" t="s">
        <v>29</v>
      </c>
      <c r="E1489">
        <v>10</v>
      </c>
      <c r="J1489">
        <f t="shared" si="23"/>
        <v>10</v>
      </c>
    </row>
    <row r="1490" spans="1:10" x14ac:dyDescent="0.25">
      <c r="A1490" t="s">
        <v>218</v>
      </c>
      <c r="B1490" t="s">
        <v>219</v>
      </c>
      <c r="C1490" t="s">
        <v>30</v>
      </c>
      <c r="D1490" t="s">
        <v>31</v>
      </c>
      <c r="E1490">
        <v>32.788624932291299</v>
      </c>
      <c r="F1490">
        <v>46.118505939169196</v>
      </c>
      <c r="G1490">
        <v>51.369754769911999</v>
      </c>
      <c r="H1490">
        <v>54.566672234442798</v>
      </c>
      <c r="J1490">
        <f t="shared" si="23"/>
        <v>54.566672234442798</v>
      </c>
    </row>
    <row r="1491" spans="1:10" x14ac:dyDescent="0.25">
      <c r="A1491" t="s">
        <v>218</v>
      </c>
      <c r="B1491" t="s">
        <v>219</v>
      </c>
      <c r="C1491" t="s">
        <v>32</v>
      </c>
      <c r="D1491" t="s">
        <v>33</v>
      </c>
      <c r="E1491">
        <v>10</v>
      </c>
      <c r="F1491">
        <v>10</v>
      </c>
      <c r="G1491">
        <v>10</v>
      </c>
      <c r="H1491">
        <v>10</v>
      </c>
      <c r="I1491">
        <v>10</v>
      </c>
      <c r="J1491">
        <f t="shared" si="23"/>
        <v>10</v>
      </c>
    </row>
    <row r="1492" spans="1:10" x14ac:dyDescent="0.25">
      <c r="A1492" t="s">
        <v>218</v>
      </c>
      <c r="B1492" t="s">
        <v>219</v>
      </c>
      <c r="C1492" t="s">
        <v>34</v>
      </c>
      <c r="D1492" t="s">
        <v>35</v>
      </c>
      <c r="E1492">
        <v>100</v>
      </c>
      <c r="F1492">
        <v>98.571426391601605</v>
      </c>
      <c r="G1492">
        <v>99.047622680664105</v>
      </c>
      <c r="H1492">
        <v>99.056602478027301</v>
      </c>
      <c r="I1492">
        <v>98.584907531738295</v>
      </c>
      <c r="J1492">
        <f t="shared" si="23"/>
        <v>100</v>
      </c>
    </row>
    <row r="1493" spans="1:10" x14ac:dyDescent="0.25">
      <c r="A1493" t="s">
        <v>218</v>
      </c>
      <c r="B1493" t="s">
        <v>219</v>
      </c>
      <c r="C1493" t="s">
        <v>36</v>
      </c>
      <c r="D1493" t="s">
        <v>37</v>
      </c>
      <c r="J1493">
        <f t="shared" si="23"/>
        <v>0</v>
      </c>
    </row>
    <row r="1494" spans="1:10" x14ac:dyDescent="0.25">
      <c r="A1494" t="s">
        <v>218</v>
      </c>
      <c r="B1494" t="s">
        <v>219</v>
      </c>
      <c r="C1494" t="s">
        <v>38</v>
      </c>
      <c r="D1494" t="s">
        <v>39</v>
      </c>
      <c r="J1494">
        <f t="shared" si="23"/>
        <v>0</v>
      </c>
    </row>
    <row r="1495" spans="1:10" x14ac:dyDescent="0.25">
      <c r="A1495" t="s">
        <v>218</v>
      </c>
      <c r="B1495" t="s">
        <v>219</v>
      </c>
      <c r="C1495" t="s">
        <v>40</v>
      </c>
      <c r="D1495" t="s">
        <v>41</v>
      </c>
      <c r="E1495">
        <v>91.865620000000007</v>
      </c>
      <c r="F1495">
        <v>92.227997999999999</v>
      </c>
      <c r="G1495">
        <v>92.000596999999999</v>
      </c>
      <c r="H1495">
        <v>91.384398000000004</v>
      </c>
      <c r="J1495">
        <f t="shared" si="23"/>
        <v>92.227997999999999</v>
      </c>
    </row>
    <row r="1496" spans="1:10" x14ac:dyDescent="0.25">
      <c r="A1496" t="s">
        <v>218</v>
      </c>
      <c r="B1496" t="s">
        <v>219</v>
      </c>
      <c r="C1496" t="s">
        <v>42</v>
      </c>
      <c r="D1496" t="s">
        <v>43</v>
      </c>
      <c r="J1496">
        <f t="shared" si="23"/>
        <v>0</v>
      </c>
    </row>
    <row r="1497" spans="1:10" x14ac:dyDescent="0.25">
      <c r="A1497" t="s">
        <v>218</v>
      </c>
      <c r="B1497" t="s">
        <v>219</v>
      </c>
      <c r="C1497" t="s">
        <v>44</v>
      </c>
      <c r="D1497" t="s">
        <v>45</v>
      </c>
      <c r="E1497">
        <v>0.5</v>
      </c>
      <c r="J1497">
        <f t="shared" si="23"/>
        <v>0.5</v>
      </c>
    </row>
    <row r="1498" spans="1:10" x14ac:dyDescent="0.25">
      <c r="A1498" t="s">
        <v>220</v>
      </c>
      <c r="B1498" t="s">
        <v>221</v>
      </c>
      <c r="C1498" t="s">
        <v>11</v>
      </c>
      <c r="D1498" t="s">
        <v>12</v>
      </c>
      <c r="G1498">
        <v>26.03</v>
      </c>
      <c r="J1498">
        <f t="shared" si="23"/>
        <v>26.03</v>
      </c>
    </row>
    <row r="1499" spans="1:10" x14ac:dyDescent="0.25">
      <c r="A1499" t="s">
        <v>220</v>
      </c>
      <c r="B1499" t="s">
        <v>221</v>
      </c>
      <c r="C1499" t="s">
        <v>14</v>
      </c>
      <c r="D1499" t="s">
        <v>15</v>
      </c>
      <c r="G1499">
        <v>21.57</v>
      </c>
      <c r="J1499">
        <f t="shared" si="23"/>
        <v>21.57</v>
      </c>
    </row>
    <row r="1500" spans="1:10" x14ac:dyDescent="0.25">
      <c r="A1500" t="s">
        <v>220</v>
      </c>
      <c r="B1500" t="s">
        <v>221</v>
      </c>
      <c r="C1500" t="s">
        <v>16</v>
      </c>
      <c r="D1500" t="s">
        <v>17</v>
      </c>
      <c r="G1500">
        <v>30.94</v>
      </c>
      <c r="J1500">
        <f t="shared" si="23"/>
        <v>30.94</v>
      </c>
    </row>
    <row r="1501" spans="1:10" x14ac:dyDescent="0.25">
      <c r="A1501" t="s">
        <v>220</v>
      </c>
      <c r="B1501" t="s">
        <v>221</v>
      </c>
      <c r="C1501" t="s">
        <v>18</v>
      </c>
      <c r="D1501" t="s">
        <v>19</v>
      </c>
      <c r="G1501">
        <v>21.36</v>
      </c>
      <c r="J1501">
        <f t="shared" si="23"/>
        <v>21.36</v>
      </c>
    </row>
    <row r="1502" spans="1:10" x14ac:dyDescent="0.25">
      <c r="A1502" t="s">
        <v>220</v>
      </c>
      <c r="B1502" t="s">
        <v>221</v>
      </c>
      <c r="C1502" t="s">
        <v>20</v>
      </c>
      <c r="D1502" t="s">
        <v>21</v>
      </c>
      <c r="G1502">
        <v>29.56</v>
      </c>
      <c r="J1502">
        <f t="shared" si="23"/>
        <v>29.56</v>
      </c>
    </row>
    <row r="1503" spans="1:10" x14ac:dyDescent="0.25">
      <c r="A1503" t="s">
        <v>220</v>
      </c>
      <c r="B1503" t="s">
        <v>221</v>
      </c>
      <c r="C1503" t="s">
        <v>22</v>
      </c>
      <c r="D1503" t="s">
        <v>23</v>
      </c>
      <c r="G1503">
        <v>18.14</v>
      </c>
      <c r="J1503">
        <f t="shared" si="23"/>
        <v>18.14</v>
      </c>
    </row>
    <row r="1504" spans="1:10" x14ac:dyDescent="0.25">
      <c r="A1504" t="s">
        <v>220</v>
      </c>
      <c r="B1504" t="s">
        <v>221</v>
      </c>
      <c r="C1504" t="s">
        <v>24</v>
      </c>
      <c r="D1504" t="s">
        <v>25</v>
      </c>
      <c r="J1504">
        <f t="shared" si="23"/>
        <v>0</v>
      </c>
    </row>
    <row r="1505" spans="1:10" x14ac:dyDescent="0.25">
      <c r="A1505" t="s">
        <v>220</v>
      </c>
      <c r="B1505" t="s">
        <v>221</v>
      </c>
      <c r="C1505" t="s">
        <v>26</v>
      </c>
      <c r="D1505" t="s">
        <v>27</v>
      </c>
      <c r="J1505">
        <f t="shared" si="23"/>
        <v>0</v>
      </c>
    </row>
    <row r="1506" spans="1:10" x14ac:dyDescent="0.25">
      <c r="A1506" t="s">
        <v>220</v>
      </c>
      <c r="B1506" t="s">
        <v>221</v>
      </c>
      <c r="C1506" t="s">
        <v>28</v>
      </c>
      <c r="D1506" t="s">
        <v>29</v>
      </c>
      <c r="E1506">
        <v>1</v>
      </c>
      <c r="J1506">
        <f t="shared" si="23"/>
        <v>1</v>
      </c>
    </row>
    <row r="1507" spans="1:10" x14ac:dyDescent="0.25">
      <c r="A1507" t="s">
        <v>220</v>
      </c>
      <c r="B1507" t="s">
        <v>221</v>
      </c>
      <c r="C1507" t="s">
        <v>30</v>
      </c>
      <c r="D1507" t="s">
        <v>31</v>
      </c>
      <c r="J1507">
        <f t="shared" si="23"/>
        <v>0</v>
      </c>
    </row>
    <row r="1508" spans="1:10" x14ac:dyDescent="0.25">
      <c r="A1508" t="s">
        <v>220</v>
      </c>
      <c r="B1508" t="s">
        <v>221</v>
      </c>
      <c r="C1508" t="s">
        <v>32</v>
      </c>
      <c r="D1508" t="s">
        <v>33</v>
      </c>
      <c r="E1508">
        <v>7</v>
      </c>
      <c r="F1508">
        <v>7</v>
      </c>
      <c r="G1508">
        <v>7</v>
      </c>
      <c r="H1508">
        <v>7</v>
      </c>
      <c r="I1508">
        <v>7</v>
      </c>
      <c r="J1508">
        <f t="shared" si="23"/>
        <v>7</v>
      </c>
    </row>
    <row r="1509" spans="1:10" x14ac:dyDescent="0.25">
      <c r="A1509" t="s">
        <v>220</v>
      </c>
      <c r="B1509" t="s">
        <v>221</v>
      </c>
      <c r="C1509" t="s">
        <v>34</v>
      </c>
      <c r="D1509" t="s">
        <v>35</v>
      </c>
      <c r="E1509">
        <v>15.714285850524901</v>
      </c>
      <c r="F1509">
        <v>11.428571701049799</v>
      </c>
      <c r="G1509">
        <v>10</v>
      </c>
      <c r="H1509">
        <v>7.5471696853637704</v>
      </c>
      <c r="I1509">
        <v>7.0754718780517596</v>
      </c>
      <c r="J1509">
        <f t="shared" si="23"/>
        <v>15.714285850524901</v>
      </c>
    </row>
    <row r="1510" spans="1:10" x14ac:dyDescent="0.25">
      <c r="A1510" t="s">
        <v>220</v>
      </c>
      <c r="B1510" t="s">
        <v>221</v>
      </c>
      <c r="C1510" t="s">
        <v>36</v>
      </c>
      <c r="D1510" t="s">
        <v>37</v>
      </c>
      <c r="J1510">
        <f t="shared" si="23"/>
        <v>0</v>
      </c>
    </row>
    <row r="1511" spans="1:10" x14ac:dyDescent="0.25">
      <c r="A1511" t="s">
        <v>220</v>
      </c>
      <c r="B1511" t="s">
        <v>221</v>
      </c>
      <c r="C1511" t="s">
        <v>38</v>
      </c>
      <c r="D1511" t="s">
        <v>39</v>
      </c>
      <c r="J1511">
        <f t="shared" si="23"/>
        <v>0</v>
      </c>
    </row>
    <row r="1512" spans="1:10" x14ac:dyDescent="0.25">
      <c r="A1512" t="s">
        <v>220</v>
      </c>
      <c r="B1512" t="s">
        <v>221</v>
      </c>
      <c r="C1512" t="s">
        <v>40</v>
      </c>
      <c r="D1512" t="s">
        <v>41</v>
      </c>
      <c r="E1512">
        <v>82.797628000000003</v>
      </c>
      <c r="F1512">
        <v>79.490452000000005</v>
      </c>
      <c r="G1512">
        <v>77.216356000000005</v>
      </c>
      <c r="H1512">
        <v>83.875855999999999</v>
      </c>
      <c r="J1512">
        <f t="shared" si="23"/>
        <v>83.875855999999999</v>
      </c>
    </row>
    <row r="1513" spans="1:10" x14ac:dyDescent="0.25">
      <c r="A1513" t="s">
        <v>220</v>
      </c>
      <c r="B1513" t="s">
        <v>221</v>
      </c>
      <c r="C1513" t="s">
        <v>42</v>
      </c>
      <c r="D1513" t="s">
        <v>43</v>
      </c>
      <c r="J1513">
        <f t="shared" si="23"/>
        <v>0</v>
      </c>
    </row>
    <row r="1514" spans="1:10" x14ac:dyDescent="0.25">
      <c r="A1514" t="s">
        <v>220</v>
      </c>
      <c r="B1514" t="s">
        <v>221</v>
      </c>
      <c r="C1514" t="s">
        <v>44</v>
      </c>
      <c r="D1514" t="s">
        <v>45</v>
      </c>
      <c r="E1514">
        <v>14</v>
      </c>
      <c r="J1514">
        <f t="shared" si="23"/>
        <v>14</v>
      </c>
    </row>
    <row r="1515" spans="1:10" x14ac:dyDescent="0.25">
      <c r="A1515" t="s">
        <v>222</v>
      </c>
      <c r="B1515" t="s">
        <v>223</v>
      </c>
      <c r="C1515" t="s">
        <v>11</v>
      </c>
      <c r="D1515" t="s">
        <v>12</v>
      </c>
      <c r="G1515">
        <v>45.32</v>
      </c>
      <c r="J1515">
        <f t="shared" si="23"/>
        <v>45.32</v>
      </c>
    </row>
    <row r="1516" spans="1:10" x14ac:dyDescent="0.25">
      <c r="A1516" t="s">
        <v>222</v>
      </c>
      <c r="B1516" t="s">
        <v>223</v>
      </c>
      <c r="C1516" t="s">
        <v>14</v>
      </c>
      <c r="D1516" t="s">
        <v>15</v>
      </c>
      <c r="G1516">
        <v>34.96</v>
      </c>
      <c r="J1516">
        <f t="shared" si="23"/>
        <v>34.96</v>
      </c>
    </row>
    <row r="1517" spans="1:10" x14ac:dyDescent="0.25">
      <c r="A1517" t="s">
        <v>222</v>
      </c>
      <c r="B1517" t="s">
        <v>223</v>
      </c>
      <c r="C1517" t="s">
        <v>16</v>
      </c>
      <c r="D1517" t="s">
        <v>17</v>
      </c>
      <c r="G1517">
        <v>55.45</v>
      </c>
      <c r="J1517">
        <f t="shared" si="23"/>
        <v>55.45</v>
      </c>
    </row>
    <row r="1518" spans="1:10" x14ac:dyDescent="0.25">
      <c r="A1518" t="s">
        <v>222</v>
      </c>
      <c r="B1518" t="s">
        <v>223</v>
      </c>
      <c r="C1518" t="s">
        <v>18</v>
      </c>
      <c r="D1518" t="s">
        <v>19</v>
      </c>
      <c r="G1518">
        <v>32.69</v>
      </c>
      <c r="J1518">
        <f t="shared" si="23"/>
        <v>32.69</v>
      </c>
    </row>
    <row r="1519" spans="1:10" x14ac:dyDescent="0.25">
      <c r="A1519" t="s">
        <v>222</v>
      </c>
      <c r="B1519" t="s">
        <v>223</v>
      </c>
      <c r="C1519" t="s">
        <v>20</v>
      </c>
      <c r="D1519" t="s">
        <v>21</v>
      </c>
      <c r="G1519">
        <v>34.880000000000003</v>
      </c>
      <c r="J1519">
        <f t="shared" si="23"/>
        <v>34.880000000000003</v>
      </c>
    </row>
    <row r="1520" spans="1:10" x14ac:dyDescent="0.25">
      <c r="A1520" t="s">
        <v>222</v>
      </c>
      <c r="B1520" t="s">
        <v>223</v>
      </c>
      <c r="C1520" t="s">
        <v>22</v>
      </c>
      <c r="D1520" t="s">
        <v>23</v>
      </c>
      <c r="G1520">
        <v>25.8</v>
      </c>
      <c r="J1520">
        <f t="shared" si="23"/>
        <v>25.8</v>
      </c>
    </row>
    <row r="1521" spans="1:10" x14ac:dyDescent="0.25">
      <c r="A1521" t="s">
        <v>222</v>
      </c>
      <c r="B1521" t="s">
        <v>223</v>
      </c>
      <c r="C1521" t="s">
        <v>24</v>
      </c>
      <c r="D1521" t="s">
        <v>25</v>
      </c>
      <c r="J1521">
        <f t="shared" si="23"/>
        <v>0</v>
      </c>
    </row>
    <row r="1522" spans="1:10" x14ac:dyDescent="0.25">
      <c r="A1522" t="s">
        <v>222</v>
      </c>
      <c r="B1522" t="s">
        <v>223</v>
      </c>
      <c r="C1522" t="s">
        <v>26</v>
      </c>
      <c r="D1522" t="s">
        <v>27</v>
      </c>
      <c r="J1522">
        <f t="shared" si="23"/>
        <v>0</v>
      </c>
    </row>
    <row r="1523" spans="1:10" x14ac:dyDescent="0.25">
      <c r="A1523" t="s">
        <v>222</v>
      </c>
      <c r="B1523" t="s">
        <v>223</v>
      </c>
      <c r="C1523" t="s">
        <v>28</v>
      </c>
      <c r="D1523" t="s">
        <v>29</v>
      </c>
      <c r="E1523">
        <v>7</v>
      </c>
      <c r="J1523">
        <f t="shared" si="23"/>
        <v>7</v>
      </c>
    </row>
    <row r="1524" spans="1:10" x14ac:dyDescent="0.25">
      <c r="A1524" t="s">
        <v>222</v>
      </c>
      <c r="B1524" t="s">
        <v>223</v>
      </c>
      <c r="C1524" t="s">
        <v>30</v>
      </c>
      <c r="D1524" t="s">
        <v>31</v>
      </c>
      <c r="J1524">
        <f t="shared" si="23"/>
        <v>0</v>
      </c>
    </row>
    <row r="1525" spans="1:10" x14ac:dyDescent="0.25">
      <c r="A1525" t="s">
        <v>222</v>
      </c>
      <c r="B1525" t="s">
        <v>223</v>
      </c>
      <c r="C1525" t="s">
        <v>32</v>
      </c>
      <c r="D1525" t="s">
        <v>33</v>
      </c>
      <c r="E1525">
        <v>9</v>
      </c>
      <c r="F1525">
        <v>9</v>
      </c>
      <c r="G1525">
        <v>9</v>
      </c>
      <c r="H1525">
        <v>9</v>
      </c>
      <c r="I1525">
        <v>9</v>
      </c>
      <c r="J1525">
        <f t="shared" si="23"/>
        <v>9</v>
      </c>
    </row>
    <row r="1526" spans="1:10" x14ac:dyDescent="0.25">
      <c r="A1526" t="s">
        <v>222</v>
      </c>
      <c r="B1526" t="s">
        <v>223</v>
      </c>
      <c r="C1526" t="s">
        <v>34</v>
      </c>
      <c r="D1526" t="s">
        <v>35</v>
      </c>
      <c r="E1526">
        <v>12.380952835083001</v>
      </c>
      <c r="F1526">
        <v>13.8095235824585</v>
      </c>
      <c r="G1526">
        <v>14.285714149475099</v>
      </c>
      <c r="H1526">
        <v>13.6792449951172</v>
      </c>
      <c r="I1526">
        <v>16.981132507324201</v>
      </c>
      <c r="J1526">
        <f t="shared" si="23"/>
        <v>16.981132507324201</v>
      </c>
    </row>
    <row r="1527" spans="1:10" x14ac:dyDescent="0.25">
      <c r="A1527" t="s">
        <v>222</v>
      </c>
      <c r="B1527" t="s">
        <v>223</v>
      </c>
      <c r="C1527" t="s">
        <v>36</v>
      </c>
      <c r="D1527" t="s">
        <v>37</v>
      </c>
      <c r="J1527">
        <f t="shared" si="23"/>
        <v>0</v>
      </c>
    </row>
    <row r="1528" spans="1:10" x14ac:dyDescent="0.25">
      <c r="A1528" t="s">
        <v>222</v>
      </c>
      <c r="B1528" t="s">
        <v>223</v>
      </c>
      <c r="C1528" t="s">
        <v>38</v>
      </c>
      <c r="D1528" t="s">
        <v>39</v>
      </c>
      <c r="J1528">
        <f t="shared" si="23"/>
        <v>0</v>
      </c>
    </row>
    <row r="1529" spans="1:10" x14ac:dyDescent="0.25">
      <c r="A1529" t="s">
        <v>222</v>
      </c>
      <c r="B1529" t="s">
        <v>223</v>
      </c>
      <c r="C1529" t="s">
        <v>40</v>
      </c>
      <c r="D1529" t="s">
        <v>41</v>
      </c>
      <c r="E1529">
        <v>46.718417000000002</v>
      </c>
      <c r="F1529">
        <v>46.560875000000003</v>
      </c>
      <c r="G1529">
        <v>46.788910000000001</v>
      </c>
      <c r="H1529">
        <v>48.329746999999998</v>
      </c>
      <c r="J1529">
        <f t="shared" si="23"/>
        <v>48.329746999999998</v>
      </c>
    </row>
    <row r="1530" spans="1:10" x14ac:dyDescent="0.25">
      <c r="A1530" t="s">
        <v>222</v>
      </c>
      <c r="B1530" t="s">
        <v>223</v>
      </c>
      <c r="C1530" t="s">
        <v>42</v>
      </c>
      <c r="D1530" t="s">
        <v>43</v>
      </c>
      <c r="J1530">
        <f t="shared" si="23"/>
        <v>0</v>
      </c>
    </row>
    <row r="1531" spans="1:10" x14ac:dyDescent="0.25">
      <c r="A1531" t="s">
        <v>222</v>
      </c>
      <c r="B1531" t="s">
        <v>223</v>
      </c>
      <c r="C1531" t="s">
        <v>44</v>
      </c>
      <c r="D1531" t="s">
        <v>45</v>
      </c>
      <c r="E1531">
        <v>7.2</v>
      </c>
      <c r="J1531">
        <f t="shared" si="23"/>
        <v>7.2</v>
      </c>
    </row>
    <row r="1532" spans="1:10" x14ac:dyDescent="0.25">
      <c r="A1532" t="s">
        <v>224</v>
      </c>
      <c r="B1532" t="s">
        <v>225</v>
      </c>
      <c r="C1532" t="s">
        <v>11</v>
      </c>
      <c r="D1532" t="s">
        <v>12</v>
      </c>
      <c r="G1532">
        <v>85.29</v>
      </c>
      <c r="J1532">
        <f t="shared" si="23"/>
        <v>85.29</v>
      </c>
    </row>
    <row r="1533" spans="1:10" x14ac:dyDescent="0.25">
      <c r="A1533" t="s">
        <v>224</v>
      </c>
      <c r="B1533" t="s">
        <v>225</v>
      </c>
      <c r="C1533" t="s">
        <v>14</v>
      </c>
      <c r="D1533" t="s">
        <v>15</v>
      </c>
      <c r="G1533">
        <v>79.91</v>
      </c>
      <c r="J1533">
        <f t="shared" si="23"/>
        <v>79.91</v>
      </c>
    </row>
    <row r="1534" spans="1:10" x14ac:dyDescent="0.25">
      <c r="A1534" t="s">
        <v>224</v>
      </c>
      <c r="B1534" t="s">
        <v>225</v>
      </c>
      <c r="C1534" t="s">
        <v>16</v>
      </c>
      <c r="D1534" t="s">
        <v>17</v>
      </c>
      <c r="G1534">
        <v>90.62</v>
      </c>
      <c r="J1534">
        <f t="shared" si="23"/>
        <v>90.62</v>
      </c>
    </row>
    <row r="1535" spans="1:10" x14ac:dyDescent="0.25">
      <c r="A1535" t="s">
        <v>224</v>
      </c>
      <c r="B1535" t="s">
        <v>225</v>
      </c>
      <c r="C1535" t="s">
        <v>18</v>
      </c>
      <c r="D1535" t="s">
        <v>19</v>
      </c>
      <c r="G1535">
        <v>77.69</v>
      </c>
      <c r="J1535">
        <f t="shared" si="23"/>
        <v>77.69</v>
      </c>
    </row>
    <row r="1536" spans="1:10" x14ac:dyDescent="0.25">
      <c r="A1536" t="s">
        <v>224</v>
      </c>
      <c r="B1536" t="s">
        <v>225</v>
      </c>
      <c r="C1536" t="s">
        <v>20</v>
      </c>
      <c r="D1536" t="s">
        <v>21</v>
      </c>
      <c r="G1536">
        <v>74.010000000000005</v>
      </c>
      <c r="J1536">
        <f t="shared" si="23"/>
        <v>74.010000000000005</v>
      </c>
    </row>
    <row r="1537" spans="1:10" x14ac:dyDescent="0.25">
      <c r="A1537" t="s">
        <v>224</v>
      </c>
      <c r="B1537" t="s">
        <v>225</v>
      </c>
      <c r="C1537" t="s">
        <v>22</v>
      </c>
      <c r="D1537" t="s">
        <v>23</v>
      </c>
      <c r="G1537">
        <v>73.02</v>
      </c>
      <c r="J1537">
        <f t="shared" si="23"/>
        <v>73.02</v>
      </c>
    </row>
    <row r="1538" spans="1:10" x14ac:dyDescent="0.25">
      <c r="A1538" t="s">
        <v>224</v>
      </c>
      <c r="B1538" t="s">
        <v>225</v>
      </c>
      <c r="C1538" t="s">
        <v>24</v>
      </c>
      <c r="D1538" t="s">
        <v>25</v>
      </c>
      <c r="J1538">
        <f t="shared" si="23"/>
        <v>0</v>
      </c>
    </row>
    <row r="1539" spans="1:10" x14ac:dyDescent="0.25">
      <c r="A1539" t="s">
        <v>224</v>
      </c>
      <c r="B1539" t="s">
        <v>225</v>
      </c>
      <c r="C1539" t="s">
        <v>26</v>
      </c>
      <c r="D1539" t="s">
        <v>27</v>
      </c>
      <c r="E1539">
        <v>7.4</v>
      </c>
      <c r="I1539">
        <v>9.6</v>
      </c>
      <c r="J1539">
        <f t="shared" ref="J1539:J1602" si="24">MAX(E1539:I1539)</f>
        <v>9.6</v>
      </c>
    </row>
    <row r="1540" spans="1:10" x14ac:dyDescent="0.25">
      <c r="A1540" t="s">
        <v>224</v>
      </c>
      <c r="B1540" t="s">
        <v>225</v>
      </c>
      <c r="C1540" t="s">
        <v>28</v>
      </c>
      <c r="D1540" t="s">
        <v>29</v>
      </c>
      <c r="E1540">
        <v>10</v>
      </c>
      <c r="J1540">
        <f t="shared" si="24"/>
        <v>10</v>
      </c>
    </row>
    <row r="1541" spans="1:10" x14ac:dyDescent="0.25">
      <c r="A1541" t="s">
        <v>224</v>
      </c>
      <c r="B1541" t="s">
        <v>225</v>
      </c>
      <c r="C1541" t="s">
        <v>30</v>
      </c>
      <c r="D1541" t="s">
        <v>31</v>
      </c>
      <c r="J1541">
        <f t="shared" si="24"/>
        <v>0</v>
      </c>
    </row>
    <row r="1542" spans="1:10" x14ac:dyDescent="0.25">
      <c r="A1542" t="s">
        <v>224</v>
      </c>
      <c r="B1542" t="s">
        <v>225</v>
      </c>
      <c r="C1542" t="s">
        <v>32</v>
      </c>
      <c r="D1542" t="s">
        <v>33</v>
      </c>
      <c r="E1542">
        <v>13</v>
      </c>
      <c r="F1542">
        <v>13</v>
      </c>
      <c r="G1542">
        <v>13</v>
      </c>
      <c r="H1542">
        <v>13</v>
      </c>
      <c r="I1542">
        <v>13</v>
      </c>
      <c r="J1542">
        <f t="shared" si="24"/>
        <v>13</v>
      </c>
    </row>
    <row r="1543" spans="1:10" x14ac:dyDescent="0.25">
      <c r="A1543" t="s">
        <v>224</v>
      </c>
      <c r="B1543" t="s">
        <v>225</v>
      </c>
      <c r="C1543" t="s">
        <v>34</v>
      </c>
      <c r="D1543" t="s">
        <v>35</v>
      </c>
      <c r="E1543">
        <v>36.666667938232401</v>
      </c>
      <c r="F1543">
        <v>34.761905670166001</v>
      </c>
      <c r="G1543">
        <v>41.4285697937012</v>
      </c>
      <c r="H1543">
        <v>44.339622497558601</v>
      </c>
      <c r="I1543">
        <v>42.452831268310497</v>
      </c>
      <c r="J1543">
        <f t="shared" si="24"/>
        <v>44.339622497558601</v>
      </c>
    </row>
    <row r="1544" spans="1:10" x14ac:dyDescent="0.25">
      <c r="A1544" t="s">
        <v>224</v>
      </c>
      <c r="B1544" t="s">
        <v>225</v>
      </c>
      <c r="C1544" t="s">
        <v>36</v>
      </c>
      <c r="D1544" t="s">
        <v>37</v>
      </c>
      <c r="J1544">
        <f t="shared" si="24"/>
        <v>0</v>
      </c>
    </row>
    <row r="1545" spans="1:10" x14ac:dyDescent="0.25">
      <c r="A1545" t="s">
        <v>224</v>
      </c>
      <c r="B1545" t="s">
        <v>225</v>
      </c>
      <c r="C1545" t="s">
        <v>38</v>
      </c>
      <c r="D1545" t="s">
        <v>39</v>
      </c>
      <c r="J1545">
        <f t="shared" si="24"/>
        <v>0</v>
      </c>
    </row>
    <row r="1546" spans="1:10" x14ac:dyDescent="0.25">
      <c r="A1546" t="s">
        <v>224</v>
      </c>
      <c r="B1546" t="s">
        <v>225</v>
      </c>
      <c r="C1546" t="s">
        <v>40</v>
      </c>
      <c r="D1546" t="s">
        <v>41</v>
      </c>
      <c r="E1546">
        <v>88.820051000000007</v>
      </c>
      <c r="F1546">
        <v>85.679637</v>
      </c>
      <c r="G1546">
        <v>82.721362999999997</v>
      </c>
      <c r="H1546">
        <v>89.610557</v>
      </c>
      <c r="J1546">
        <f t="shared" si="24"/>
        <v>89.610557</v>
      </c>
    </row>
    <row r="1547" spans="1:10" x14ac:dyDescent="0.25">
      <c r="A1547" t="s">
        <v>224</v>
      </c>
      <c r="B1547" t="s">
        <v>225</v>
      </c>
      <c r="C1547" t="s">
        <v>42</v>
      </c>
      <c r="D1547" t="s">
        <v>43</v>
      </c>
      <c r="J1547">
        <f t="shared" si="24"/>
        <v>0</v>
      </c>
    </row>
    <row r="1548" spans="1:10" x14ac:dyDescent="0.25">
      <c r="A1548" t="s">
        <v>224</v>
      </c>
      <c r="B1548" t="s">
        <v>225</v>
      </c>
      <c r="C1548" t="s">
        <v>44</v>
      </c>
      <c r="D1548" t="s">
        <v>45</v>
      </c>
      <c r="E1548">
        <v>15</v>
      </c>
      <c r="J1548">
        <f t="shared" si="24"/>
        <v>15</v>
      </c>
    </row>
    <row r="1549" spans="1:10" x14ac:dyDescent="0.25">
      <c r="A1549" t="s">
        <v>226</v>
      </c>
      <c r="B1549" t="s">
        <v>227</v>
      </c>
      <c r="C1549" t="s">
        <v>11</v>
      </c>
      <c r="D1549" t="s">
        <v>12</v>
      </c>
      <c r="G1549">
        <v>99.48</v>
      </c>
      <c r="J1549">
        <f t="shared" si="24"/>
        <v>99.48</v>
      </c>
    </row>
    <row r="1550" spans="1:10" x14ac:dyDescent="0.25">
      <c r="A1550" t="s">
        <v>226</v>
      </c>
      <c r="B1550" t="s">
        <v>227</v>
      </c>
      <c r="C1550" t="s">
        <v>14</v>
      </c>
      <c r="D1550" t="s">
        <v>15</v>
      </c>
      <c r="G1550">
        <v>100</v>
      </c>
      <c r="J1550">
        <f t="shared" si="24"/>
        <v>100</v>
      </c>
    </row>
    <row r="1551" spans="1:10" x14ac:dyDescent="0.25">
      <c r="A1551" t="s">
        <v>226</v>
      </c>
      <c r="B1551" t="s">
        <v>227</v>
      </c>
      <c r="C1551" t="s">
        <v>16</v>
      </c>
      <c r="D1551" t="s">
        <v>17</v>
      </c>
      <c r="G1551">
        <v>98.98</v>
      </c>
      <c r="J1551">
        <f t="shared" si="24"/>
        <v>98.98</v>
      </c>
    </row>
    <row r="1552" spans="1:10" x14ac:dyDescent="0.25">
      <c r="A1552" t="s">
        <v>226</v>
      </c>
      <c r="B1552" t="s">
        <v>227</v>
      </c>
      <c r="C1552" t="s">
        <v>18</v>
      </c>
      <c r="D1552" t="s">
        <v>19</v>
      </c>
      <c r="G1552">
        <v>98.68</v>
      </c>
      <c r="J1552">
        <f t="shared" si="24"/>
        <v>98.68</v>
      </c>
    </row>
    <row r="1553" spans="1:10" x14ac:dyDescent="0.25">
      <c r="A1553" t="s">
        <v>226</v>
      </c>
      <c r="B1553" t="s">
        <v>227</v>
      </c>
      <c r="C1553" t="s">
        <v>20</v>
      </c>
      <c r="D1553" t="s">
        <v>21</v>
      </c>
      <c r="G1553">
        <v>96.37</v>
      </c>
      <c r="J1553">
        <f t="shared" si="24"/>
        <v>96.37</v>
      </c>
    </row>
    <row r="1554" spans="1:10" x14ac:dyDescent="0.25">
      <c r="A1554" t="s">
        <v>226</v>
      </c>
      <c r="B1554" t="s">
        <v>227</v>
      </c>
      <c r="C1554" t="s">
        <v>22</v>
      </c>
      <c r="D1554" t="s">
        <v>23</v>
      </c>
      <c r="G1554">
        <v>97.65</v>
      </c>
      <c r="J1554">
        <f t="shared" si="24"/>
        <v>97.65</v>
      </c>
    </row>
    <row r="1555" spans="1:10" x14ac:dyDescent="0.25">
      <c r="A1555" t="s">
        <v>226</v>
      </c>
      <c r="B1555" t="s">
        <v>227</v>
      </c>
      <c r="C1555" t="s">
        <v>24</v>
      </c>
      <c r="D1555" t="s">
        <v>25</v>
      </c>
      <c r="J1555">
        <f t="shared" si="24"/>
        <v>0</v>
      </c>
    </row>
    <row r="1556" spans="1:10" x14ac:dyDescent="0.25">
      <c r="A1556" t="s">
        <v>226</v>
      </c>
      <c r="B1556" t="s">
        <v>227</v>
      </c>
      <c r="C1556" t="s">
        <v>26</v>
      </c>
      <c r="D1556" t="s">
        <v>27</v>
      </c>
      <c r="J1556">
        <f t="shared" si="24"/>
        <v>0</v>
      </c>
    </row>
    <row r="1557" spans="1:10" x14ac:dyDescent="0.25">
      <c r="A1557" t="s">
        <v>226</v>
      </c>
      <c r="B1557" t="s">
        <v>227</v>
      </c>
      <c r="C1557" t="s">
        <v>28</v>
      </c>
      <c r="D1557" t="s">
        <v>29</v>
      </c>
      <c r="E1557">
        <v>7</v>
      </c>
      <c r="J1557">
        <f t="shared" si="24"/>
        <v>7</v>
      </c>
    </row>
    <row r="1558" spans="1:10" x14ac:dyDescent="0.25">
      <c r="A1558" t="s">
        <v>226</v>
      </c>
      <c r="B1558" t="s">
        <v>227</v>
      </c>
      <c r="C1558" t="s">
        <v>30</v>
      </c>
      <c r="D1558" t="s">
        <v>31</v>
      </c>
      <c r="J1558">
        <f t="shared" si="24"/>
        <v>0</v>
      </c>
    </row>
    <row r="1559" spans="1:10" x14ac:dyDescent="0.25">
      <c r="A1559" t="s">
        <v>226</v>
      </c>
      <c r="B1559" t="s">
        <v>227</v>
      </c>
      <c r="C1559" t="s">
        <v>32</v>
      </c>
      <c r="D1559" t="s">
        <v>33</v>
      </c>
      <c r="E1559">
        <v>10</v>
      </c>
      <c r="F1559">
        <v>10</v>
      </c>
      <c r="G1559">
        <v>10</v>
      </c>
      <c r="H1559">
        <v>10</v>
      </c>
      <c r="I1559">
        <v>10</v>
      </c>
      <c r="J1559">
        <f t="shared" si="24"/>
        <v>10</v>
      </c>
    </row>
    <row r="1560" spans="1:10" x14ac:dyDescent="0.25">
      <c r="A1560" t="s">
        <v>226</v>
      </c>
      <c r="B1560" t="s">
        <v>227</v>
      </c>
      <c r="C1560" t="s">
        <v>34</v>
      </c>
      <c r="D1560" t="s">
        <v>35</v>
      </c>
      <c r="E1560">
        <v>97.142860412597699</v>
      </c>
      <c r="F1560">
        <v>97.619049072265597</v>
      </c>
      <c r="G1560">
        <v>98.095237731933594</v>
      </c>
      <c r="H1560">
        <v>98.113204956054702</v>
      </c>
      <c r="I1560">
        <v>99.056602478027301</v>
      </c>
      <c r="J1560">
        <f t="shared" si="24"/>
        <v>99.056602478027301</v>
      </c>
    </row>
    <row r="1561" spans="1:10" x14ac:dyDescent="0.25">
      <c r="A1561" t="s">
        <v>226</v>
      </c>
      <c r="B1561" t="s">
        <v>227</v>
      </c>
      <c r="C1561" t="s">
        <v>36</v>
      </c>
      <c r="D1561" t="s">
        <v>37</v>
      </c>
      <c r="J1561">
        <f t="shared" si="24"/>
        <v>0</v>
      </c>
    </row>
    <row r="1562" spans="1:10" x14ac:dyDescent="0.25">
      <c r="A1562" t="s">
        <v>226</v>
      </c>
      <c r="B1562" t="s">
        <v>227</v>
      </c>
      <c r="C1562" t="s">
        <v>38</v>
      </c>
      <c r="D1562" t="s">
        <v>39</v>
      </c>
      <c r="J1562">
        <f t="shared" si="24"/>
        <v>0</v>
      </c>
    </row>
    <row r="1563" spans="1:10" x14ac:dyDescent="0.25">
      <c r="A1563" t="s">
        <v>226</v>
      </c>
      <c r="B1563" t="s">
        <v>227</v>
      </c>
      <c r="C1563" t="s">
        <v>40</v>
      </c>
      <c r="D1563" t="s">
        <v>41</v>
      </c>
      <c r="E1563">
        <v>93.718957000000003</v>
      </c>
      <c r="F1563">
        <v>93.846526999999995</v>
      </c>
      <c r="G1563">
        <v>93.937117000000001</v>
      </c>
      <c r="H1563">
        <v>93.719471999999996</v>
      </c>
      <c r="J1563">
        <f t="shared" si="24"/>
        <v>93.937117000000001</v>
      </c>
    </row>
    <row r="1564" spans="1:10" x14ac:dyDescent="0.25">
      <c r="A1564" t="s">
        <v>226</v>
      </c>
      <c r="B1564" t="s">
        <v>227</v>
      </c>
      <c r="C1564" t="s">
        <v>42</v>
      </c>
      <c r="D1564" t="s">
        <v>43</v>
      </c>
      <c r="J1564">
        <f t="shared" si="24"/>
        <v>0</v>
      </c>
    </row>
    <row r="1565" spans="1:10" x14ac:dyDescent="0.25">
      <c r="A1565" t="s">
        <v>226</v>
      </c>
      <c r="B1565" t="s">
        <v>227</v>
      </c>
      <c r="C1565" t="s">
        <v>44</v>
      </c>
      <c r="D1565" t="s">
        <v>45</v>
      </c>
      <c r="E1565">
        <v>4</v>
      </c>
      <c r="J1565">
        <f t="shared" si="24"/>
        <v>4</v>
      </c>
    </row>
    <row r="1566" spans="1:10" x14ac:dyDescent="0.25">
      <c r="A1566" t="s">
        <v>228</v>
      </c>
      <c r="B1566" t="s">
        <v>229</v>
      </c>
      <c r="C1566" t="s">
        <v>11</v>
      </c>
      <c r="D1566" t="s">
        <v>12</v>
      </c>
      <c r="J1566">
        <f t="shared" si="24"/>
        <v>0</v>
      </c>
    </row>
    <row r="1567" spans="1:10" x14ac:dyDescent="0.25">
      <c r="A1567" t="s">
        <v>228</v>
      </c>
      <c r="B1567" t="s">
        <v>229</v>
      </c>
      <c r="C1567" t="s">
        <v>14</v>
      </c>
      <c r="D1567" t="s">
        <v>15</v>
      </c>
      <c r="J1567">
        <f t="shared" si="24"/>
        <v>0</v>
      </c>
    </row>
    <row r="1568" spans="1:10" x14ac:dyDescent="0.25">
      <c r="A1568" t="s">
        <v>228</v>
      </c>
      <c r="B1568" t="s">
        <v>229</v>
      </c>
      <c r="C1568" t="s">
        <v>16</v>
      </c>
      <c r="D1568" t="s">
        <v>17</v>
      </c>
      <c r="J1568">
        <f t="shared" si="24"/>
        <v>0</v>
      </c>
    </row>
    <row r="1569" spans="1:10" x14ac:dyDescent="0.25">
      <c r="A1569" t="s">
        <v>228</v>
      </c>
      <c r="B1569" t="s">
        <v>229</v>
      </c>
      <c r="C1569" t="s">
        <v>18</v>
      </c>
      <c r="D1569" t="s">
        <v>19</v>
      </c>
      <c r="J1569">
        <f t="shared" si="24"/>
        <v>0</v>
      </c>
    </row>
    <row r="1570" spans="1:10" x14ac:dyDescent="0.25">
      <c r="A1570" t="s">
        <v>228</v>
      </c>
      <c r="B1570" t="s">
        <v>229</v>
      </c>
      <c r="C1570" t="s">
        <v>20</v>
      </c>
      <c r="D1570" t="s">
        <v>21</v>
      </c>
      <c r="J1570">
        <f t="shared" si="24"/>
        <v>0</v>
      </c>
    </row>
    <row r="1571" spans="1:10" x14ac:dyDescent="0.25">
      <c r="A1571" t="s">
        <v>228</v>
      </c>
      <c r="B1571" t="s">
        <v>229</v>
      </c>
      <c r="C1571" t="s">
        <v>22</v>
      </c>
      <c r="D1571" t="s">
        <v>23</v>
      </c>
      <c r="J1571">
        <f t="shared" si="24"/>
        <v>0</v>
      </c>
    </row>
    <row r="1572" spans="1:10" x14ac:dyDescent="0.25">
      <c r="A1572" t="s">
        <v>228</v>
      </c>
      <c r="B1572" t="s">
        <v>229</v>
      </c>
      <c r="C1572" t="s">
        <v>24</v>
      </c>
      <c r="D1572" t="s">
        <v>25</v>
      </c>
      <c r="J1572">
        <f t="shared" si="24"/>
        <v>0</v>
      </c>
    </row>
    <row r="1573" spans="1:10" x14ac:dyDescent="0.25">
      <c r="A1573" t="s">
        <v>228</v>
      </c>
      <c r="B1573" t="s">
        <v>229</v>
      </c>
      <c r="C1573" t="s">
        <v>26</v>
      </c>
      <c r="D1573" t="s">
        <v>27</v>
      </c>
      <c r="J1573">
        <f t="shared" si="24"/>
        <v>0</v>
      </c>
    </row>
    <row r="1574" spans="1:10" x14ac:dyDescent="0.25">
      <c r="A1574" t="s">
        <v>228</v>
      </c>
      <c r="B1574" t="s">
        <v>229</v>
      </c>
      <c r="C1574" t="s">
        <v>28</v>
      </c>
      <c r="D1574" t="s">
        <v>29</v>
      </c>
      <c r="E1574">
        <v>8</v>
      </c>
      <c r="J1574">
        <f t="shared" si="24"/>
        <v>8</v>
      </c>
    </row>
    <row r="1575" spans="1:10" x14ac:dyDescent="0.25">
      <c r="A1575" t="s">
        <v>228</v>
      </c>
      <c r="B1575" t="s">
        <v>229</v>
      </c>
      <c r="C1575" t="s">
        <v>30</v>
      </c>
      <c r="D1575" t="s">
        <v>31</v>
      </c>
      <c r="J1575">
        <f t="shared" si="24"/>
        <v>0</v>
      </c>
    </row>
    <row r="1576" spans="1:10" x14ac:dyDescent="0.25">
      <c r="A1576" t="s">
        <v>228</v>
      </c>
      <c r="B1576" t="s">
        <v>229</v>
      </c>
      <c r="C1576" t="s">
        <v>32</v>
      </c>
      <c r="D1576" t="s">
        <v>33</v>
      </c>
      <c r="E1576">
        <v>10</v>
      </c>
      <c r="F1576">
        <v>10</v>
      </c>
      <c r="G1576">
        <v>10</v>
      </c>
      <c r="H1576">
        <v>10</v>
      </c>
      <c r="I1576">
        <v>10</v>
      </c>
      <c r="J1576">
        <f t="shared" si="24"/>
        <v>10</v>
      </c>
    </row>
    <row r="1577" spans="1:10" x14ac:dyDescent="0.25">
      <c r="A1577" t="s">
        <v>228</v>
      </c>
      <c r="B1577" t="s">
        <v>229</v>
      </c>
      <c r="C1577" t="s">
        <v>34</v>
      </c>
      <c r="D1577" t="s">
        <v>35</v>
      </c>
      <c r="E1577">
        <v>65.714286804199205</v>
      </c>
      <c r="F1577">
        <v>60</v>
      </c>
      <c r="G1577">
        <v>58.095237731933601</v>
      </c>
      <c r="H1577">
        <v>57.547168731689503</v>
      </c>
      <c r="I1577">
        <v>60.849056243896499</v>
      </c>
      <c r="J1577">
        <f t="shared" si="24"/>
        <v>65.714286804199205</v>
      </c>
    </row>
    <row r="1578" spans="1:10" x14ac:dyDescent="0.25">
      <c r="A1578" t="s">
        <v>228</v>
      </c>
      <c r="B1578" t="s">
        <v>229</v>
      </c>
      <c r="C1578" t="s">
        <v>36</v>
      </c>
      <c r="D1578" t="s">
        <v>37</v>
      </c>
      <c r="J1578">
        <f t="shared" si="24"/>
        <v>0</v>
      </c>
    </row>
    <row r="1579" spans="1:10" x14ac:dyDescent="0.25">
      <c r="A1579" t="s">
        <v>228</v>
      </c>
      <c r="B1579" t="s">
        <v>229</v>
      </c>
      <c r="C1579" t="s">
        <v>38</v>
      </c>
      <c r="D1579" t="s">
        <v>39</v>
      </c>
      <c r="J1579">
        <f t="shared" si="24"/>
        <v>0</v>
      </c>
    </row>
    <row r="1580" spans="1:10" x14ac:dyDescent="0.25">
      <c r="A1580" t="s">
        <v>228</v>
      </c>
      <c r="B1580" t="s">
        <v>229</v>
      </c>
      <c r="C1580" t="s">
        <v>40</v>
      </c>
      <c r="D1580" t="s">
        <v>41</v>
      </c>
      <c r="E1580">
        <v>91.925533999999999</v>
      </c>
      <c r="F1580">
        <v>89.755865</v>
      </c>
      <c r="G1580">
        <v>87.338891000000004</v>
      </c>
      <c r="H1580">
        <v>90.604862999999995</v>
      </c>
      <c r="J1580">
        <f t="shared" si="24"/>
        <v>91.925533999999999</v>
      </c>
    </row>
    <row r="1581" spans="1:10" x14ac:dyDescent="0.25">
      <c r="A1581" t="s">
        <v>228</v>
      </c>
      <c r="B1581" t="s">
        <v>229</v>
      </c>
      <c r="C1581" t="s">
        <v>42</v>
      </c>
      <c r="D1581" t="s">
        <v>43</v>
      </c>
      <c r="J1581">
        <f t="shared" si="24"/>
        <v>0</v>
      </c>
    </row>
    <row r="1582" spans="1:10" x14ac:dyDescent="0.25">
      <c r="A1582" t="s">
        <v>228</v>
      </c>
      <c r="B1582" t="s">
        <v>229</v>
      </c>
      <c r="C1582" t="s">
        <v>44</v>
      </c>
      <c r="D1582" t="s">
        <v>45</v>
      </c>
      <c r="E1582">
        <v>4.3</v>
      </c>
      <c r="J1582">
        <f t="shared" si="24"/>
        <v>4.3</v>
      </c>
    </row>
    <row r="1583" spans="1:10" x14ac:dyDescent="0.25">
      <c r="A1583" t="s">
        <v>230</v>
      </c>
      <c r="B1583" t="s">
        <v>231</v>
      </c>
      <c r="C1583" t="s">
        <v>11</v>
      </c>
      <c r="D1583" t="s">
        <v>12</v>
      </c>
      <c r="G1583">
        <v>20.98</v>
      </c>
      <c r="J1583">
        <f t="shared" si="24"/>
        <v>20.98</v>
      </c>
    </row>
    <row r="1584" spans="1:10" x14ac:dyDescent="0.25">
      <c r="A1584" t="s">
        <v>230</v>
      </c>
      <c r="B1584" t="s">
        <v>231</v>
      </c>
      <c r="C1584" t="s">
        <v>14</v>
      </c>
      <c r="D1584" t="s">
        <v>15</v>
      </c>
      <c r="G1584">
        <v>13.48</v>
      </c>
      <c r="J1584">
        <f t="shared" si="24"/>
        <v>13.48</v>
      </c>
    </row>
    <row r="1585" spans="1:10" x14ac:dyDescent="0.25">
      <c r="A1585" t="s">
        <v>230</v>
      </c>
      <c r="B1585" t="s">
        <v>231</v>
      </c>
      <c r="C1585" t="s">
        <v>16</v>
      </c>
      <c r="D1585" t="s">
        <v>17</v>
      </c>
      <c r="G1585">
        <v>28.18</v>
      </c>
      <c r="J1585">
        <f t="shared" si="24"/>
        <v>28.18</v>
      </c>
    </row>
    <row r="1586" spans="1:10" x14ac:dyDescent="0.25">
      <c r="A1586" t="s">
        <v>230</v>
      </c>
      <c r="B1586" t="s">
        <v>231</v>
      </c>
      <c r="C1586" t="s">
        <v>18</v>
      </c>
      <c r="D1586" t="s">
        <v>19</v>
      </c>
      <c r="G1586">
        <v>17.61</v>
      </c>
      <c r="J1586">
        <f t="shared" si="24"/>
        <v>17.61</v>
      </c>
    </row>
    <row r="1587" spans="1:10" x14ac:dyDescent="0.25">
      <c r="A1587" t="s">
        <v>230</v>
      </c>
      <c r="B1587" t="s">
        <v>231</v>
      </c>
      <c r="C1587" t="s">
        <v>20</v>
      </c>
      <c r="D1587" t="s">
        <v>21</v>
      </c>
      <c r="G1587">
        <v>18.100000000000001</v>
      </c>
      <c r="J1587">
        <f t="shared" si="24"/>
        <v>18.100000000000001</v>
      </c>
    </row>
    <row r="1588" spans="1:10" x14ac:dyDescent="0.25">
      <c r="A1588" t="s">
        <v>230</v>
      </c>
      <c r="B1588" t="s">
        <v>231</v>
      </c>
      <c r="C1588" t="s">
        <v>22</v>
      </c>
      <c r="D1588" t="s">
        <v>23</v>
      </c>
      <c r="G1588">
        <v>15.31</v>
      </c>
      <c r="J1588">
        <f t="shared" si="24"/>
        <v>15.31</v>
      </c>
    </row>
    <row r="1589" spans="1:10" x14ac:dyDescent="0.25">
      <c r="A1589" t="s">
        <v>230</v>
      </c>
      <c r="B1589" t="s">
        <v>231</v>
      </c>
      <c r="C1589" t="s">
        <v>24</v>
      </c>
      <c r="D1589" t="s">
        <v>25</v>
      </c>
      <c r="J1589">
        <f t="shared" si="24"/>
        <v>0</v>
      </c>
    </row>
    <row r="1590" spans="1:10" x14ac:dyDescent="0.25">
      <c r="A1590" t="s">
        <v>230</v>
      </c>
      <c r="B1590" t="s">
        <v>231</v>
      </c>
      <c r="C1590" t="s">
        <v>26</v>
      </c>
      <c r="D1590" t="s">
        <v>27</v>
      </c>
      <c r="H1590">
        <v>15.9</v>
      </c>
      <c r="J1590">
        <f t="shared" si="24"/>
        <v>15.9</v>
      </c>
    </row>
    <row r="1591" spans="1:10" x14ac:dyDescent="0.25">
      <c r="A1591" t="s">
        <v>230</v>
      </c>
      <c r="B1591" t="s">
        <v>231</v>
      </c>
      <c r="C1591" t="s">
        <v>28</v>
      </c>
      <c r="D1591" t="s">
        <v>29</v>
      </c>
      <c r="E1591">
        <v>6</v>
      </c>
      <c r="J1591">
        <f t="shared" si="24"/>
        <v>6</v>
      </c>
    </row>
    <row r="1592" spans="1:10" x14ac:dyDescent="0.25">
      <c r="A1592" t="s">
        <v>230</v>
      </c>
      <c r="B1592" t="s">
        <v>231</v>
      </c>
      <c r="C1592" t="s">
        <v>30</v>
      </c>
      <c r="D1592" t="s">
        <v>31</v>
      </c>
      <c r="J1592">
        <f t="shared" si="24"/>
        <v>0</v>
      </c>
    </row>
    <row r="1593" spans="1:10" x14ac:dyDescent="0.25">
      <c r="A1593" t="s">
        <v>230</v>
      </c>
      <c r="B1593" t="s">
        <v>231</v>
      </c>
      <c r="C1593" t="s">
        <v>32</v>
      </c>
      <c r="D1593" t="s">
        <v>33</v>
      </c>
      <c r="E1593">
        <v>12</v>
      </c>
      <c r="F1593">
        <v>12</v>
      </c>
      <c r="G1593">
        <v>12</v>
      </c>
      <c r="H1593">
        <v>12</v>
      </c>
      <c r="I1593">
        <v>12</v>
      </c>
      <c r="J1593">
        <f t="shared" si="24"/>
        <v>12</v>
      </c>
    </row>
    <row r="1594" spans="1:10" x14ac:dyDescent="0.25">
      <c r="A1594" t="s">
        <v>230</v>
      </c>
      <c r="B1594" t="s">
        <v>231</v>
      </c>
      <c r="C1594" t="s">
        <v>34</v>
      </c>
      <c r="D1594" t="s">
        <v>35</v>
      </c>
      <c r="E1594">
        <v>20.9523811340332</v>
      </c>
      <c r="F1594">
        <v>21.904762268066399</v>
      </c>
      <c r="G1594">
        <v>23.3333339691162</v>
      </c>
      <c r="H1594">
        <v>22.6415100097656</v>
      </c>
      <c r="I1594">
        <v>18.867923736572301</v>
      </c>
      <c r="J1594">
        <f t="shared" si="24"/>
        <v>23.3333339691162</v>
      </c>
    </row>
    <row r="1595" spans="1:10" x14ac:dyDescent="0.25">
      <c r="A1595" t="s">
        <v>230</v>
      </c>
      <c r="B1595" t="s">
        <v>231</v>
      </c>
      <c r="C1595" t="s">
        <v>36</v>
      </c>
      <c r="D1595" t="s">
        <v>37</v>
      </c>
      <c r="J1595">
        <f t="shared" si="24"/>
        <v>0</v>
      </c>
    </row>
    <row r="1596" spans="1:10" x14ac:dyDescent="0.25">
      <c r="A1596" t="s">
        <v>230</v>
      </c>
      <c r="B1596" t="s">
        <v>231</v>
      </c>
      <c r="C1596" t="s">
        <v>38</v>
      </c>
      <c r="D1596" t="s">
        <v>39</v>
      </c>
      <c r="J1596">
        <f t="shared" si="24"/>
        <v>0</v>
      </c>
    </row>
    <row r="1597" spans="1:10" x14ac:dyDescent="0.25">
      <c r="A1597" t="s">
        <v>230</v>
      </c>
      <c r="B1597" t="s">
        <v>231</v>
      </c>
      <c r="C1597" t="s">
        <v>40</v>
      </c>
      <c r="D1597" t="s">
        <v>41</v>
      </c>
      <c r="E1597">
        <v>74.655715000000001</v>
      </c>
      <c r="F1597">
        <v>72.953863999999996</v>
      </c>
      <c r="G1597">
        <v>72.150468000000004</v>
      </c>
      <c r="H1597">
        <v>75.735977000000005</v>
      </c>
      <c r="J1597">
        <f t="shared" si="24"/>
        <v>75.735977000000005</v>
      </c>
    </row>
    <row r="1598" spans="1:10" x14ac:dyDescent="0.25">
      <c r="A1598" t="s">
        <v>230</v>
      </c>
      <c r="B1598" t="s">
        <v>231</v>
      </c>
      <c r="C1598" t="s">
        <v>42</v>
      </c>
      <c r="D1598" t="s">
        <v>43</v>
      </c>
      <c r="J1598">
        <f t="shared" si="24"/>
        <v>0</v>
      </c>
    </row>
    <row r="1599" spans="1:10" x14ac:dyDescent="0.25">
      <c r="A1599" t="s">
        <v>230</v>
      </c>
      <c r="B1599" t="s">
        <v>231</v>
      </c>
      <c r="C1599" t="s">
        <v>44</v>
      </c>
      <c r="D1599" t="s">
        <v>45</v>
      </c>
      <c r="E1599">
        <v>16.5</v>
      </c>
      <c r="J1599">
        <f t="shared" si="24"/>
        <v>16.5</v>
      </c>
    </row>
    <row r="1600" spans="1:10" x14ac:dyDescent="0.25">
      <c r="A1600" t="s">
        <v>232</v>
      </c>
      <c r="B1600" t="s">
        <v>233</v>
      </c>
      <c r="C1600" t="s">
        <v>11</v>
      </c>
      <c r="D1600" t="s">
        <v>12</v>
      </c>
      <c r="G1600">
        <v>44.97</v>
      </c>
      <c r="J1600">
        <f t="shared" si="24"/>
        <v>44.97</v>
      </c>
    </row>
    <row r="1601" spans="1:10" x14ac:dyDescent="0.25">
      <c r="A1601" t="s">
        <v>232</v>
      </c>
      <c r="B1601" t="s">
        <v>233</v>
      </c>
      <c r="C1601" t="s">
        <v>14</v>
      </c>
      <c r="D1601" t="s">
        <v>15</v>
      </c>
      <c r="G1601">
        <v>43.11</v>
      </c>
      <c r="J1601">
        <f t="shared" si="24"/>
        <v>43.11</v>
      </c>
    </row>
    <row r="1602" spans="1:10" x14ac:dyDescent="0.25">
      <c r="A1602" t="s">
        <v>232</v>
      </c>
      <c r="B1602" t="s">
        <v>233</v>
      </c>
      <c r="C1602" t="s">
        <v>16</v>
      </c>
      <c r="D1602" t="s">
        <v>17</v>
      </c>
      <c r="G1602">
        <v>46.95</v>
      </c>
      <c r="J1602">
        <f t="shared" si="24"/>
        <v>46.95</v>
      </c>
    </row>
    <row r="1603" spans="1:10" x14ac:dyDescent="0.25">
      <c r="A1603" t="s">
        <v>232</v>
      </c>
      <c r="B1603" t="s">
        <v>233</v>
      </c>
      <c r="C1603" t="s">
        <v>18</v>
      </c>
      <c r="D1603" t="s">
        <v>19</v>
      </c>
      <c r="G1603">
        <v>32.409999999999997</v>
      </c>
      <c r="J1603">
        <f t="shared" ref="J1603:J1666" si="25">MAX(E1603:I1603)</f>
        <v>32.409999999999997</v>
      </c>
    </row>
    <row r="1604" spans="1:10" x14ac:dyDescent="0.25">
      <c r="A1604" t="s">
        <v>232</v>
      </c>
      <c r="B1604" t="s">
        <v>233</v>
      </c>
      <c r="C1604" t="s">
        <v>20</v>
      </c>
      <c r="D1604" t="s">
        <v>21</v>
      </c>
      <c r="G1604">
        <v>40.42</v>
      </c>
      <c r="J1604">
        <f t="shared" si="25"/>
        <v>40.42</v>
      </c>
    </row>
    <row r="1605" spans="1:10" x14ac:dyDescent="0.25">
      <c r="A1605" t="s">
        <v>232</v>
      </c>
      <c r="B1605" t="s">
        <v>233</v>
      </c>
      <c r="C1605" t="s">
        <v>22</v>
      </c>
      <c r="D1605" t="s">
        <v>23</v>
      </c>
      <c r="G1605">
        <v>31.22</v>
      </c>
      <c r="J1605">
        <f t="shared" si="25"/>
        <v>31.22</v>
      </c>
    </row>
    <row r="1606" spans="1:10" x14ac:dyDescent="0.25">
      <c r="A1606" t="s">
        <v>232</v>
      </c>
      <c r="B1606" t="s">
        <v>233</v>
      </c>
      <c r="C1606" t="s">
        <v>24</v>
      </c>
      <c r="D1606" t="s">
        <v>25</v>
      </c>
      <c r="J1606">
        <f t="shared" si="25"/>
        <v>0</v>
      </c>
    </row>
    <row r="1607" spans="1:10" x14ac:dyDescent="0.25">
      <c r="A1607" t="s">
        <v>232</v>
      </c>
      <c r="B1607" t="s">
        <v>233</v>
      </c>
      <c r="C1607" t="s">
        <v>26</v>
      </c>
      <c r="D1607" t="s">
        <v>27</v>
      </c>
      <c r="J1607">
        <f t="shared" si="25"/>
        <v>0</v>
      </c>
    </row>
    <row r="1608" spans="1:10" x14ac:dyDescent="0.25">
      <c r="A1608" t="s">
        <v>232</v>
      </c>
      <c r="B1608" t="s">
        <v>233</v>
      </c>
      <c r="C1608" t="s">
        <v>28</v>
      </c>
      <c r="D1608" t="s">
        <v>29</v>
      </c>
      <c r="E1608">
        <v>4</v>
      </c>
      <c r="J1608">
        <f t="shared" si="25"/>
        <v>4</v>
      </c>
    </row>
    <row r="1609" spans="1:10" x14ac:dyDescent="0.25">
      <c r="A1609" t="s">
        <v>232</v>
      </c>
      <c r="B1609" t="s">
        <v>233</v>
      </c>
      <c r="C1609" t="s">
        <v>30</v>
      </c>
      <c r="D1609" t="s">
        <v>31</v>
      </c>
      <c r="J1609">
        <f t="shared" si="25"/>
        <v>0</v>
      </c>
    </row>
    <row r="1610" spans="1:10" x14ac:dyDescent="0.25">
      <c r="A1610" t="s">
        <v>232</v>
      </c>
      <c r="B1610" t="s">
        <v>233</v>
      </c>
      <c r="C1610" t="s">
        <v>32</v>
      </c>
      <c r="D1610" t="s">
        <v>33</v>
      </c>
      <c r="E1610">
        <v>11</v>
      </c>
      <c r="F1610">
        <v>11</v>
      </c>
      <c r="G1610">
        <v>11</v>
      </c>
      <c r="H1610">
        <v>11</v>
      </c>
      <c r="I1610">
        <v>11</v>
      </c>
      <c r="J1610">
        <f t="shared" si="25"/>
        <v>11</v>
      </c>
    </row>
    <row r="1611" spans="1:10" x14ac:dyDescent="0.25">
      <c r="A1611" t="s">
        <v>232</v>
      </c>
      <c r="B1611" t="s">
        <v>233</v>
      </c>
      <c r="C1611" t="s">
        <v>34</v>
      </c>
      <c r="D1611" t="s">
        <v>35</v>
      </c>
      <c r="E1611">
        <v>30.476190567016602</v>
      </c>
      <c r="F1611">
        <v>30.476190567016602</v>
      </c>
      <c r="G1611">
        <v>30.476190567016602</v>
      </c>
      <c r="H1611">
        <v>28.773584365844702</v>
      </c>
      <c r="I1611">
        <v>28.301887512206999</v>
      </c>
      <c r="J1611">
        <f t="shared" si="25"/>
        <v>30.476190567016602</v>
      </c>
    </row>
    <row r="1612" spans="1:10" x14ac:dyDescent="0.25">
      <c r="A1612" t="s">
        <v>232</v>
      </c>
      <c r="B1612" t="s">
        <v>233</v>
      </c>
      <c r="C1612" t="s">
        <v>36</v>
      </c>
      <c r="D1612" t="s">
        <v>37</v>
      </c>
      <c r="E1612">
        <v>66.144764134429806</v>
      </c>
      <c r="J1612">
        <f t="shared" si="25"/>
        <v>66.144764134429806</v>
      </c>
    </row>
    <row r="1613" spans="1:10" x14ac:dyDescent="0.25">
      <c r="A1613" t="s">
        <v>232</v>
      </c>
      <c r="B1613" t="s">
        <v>233</v>
      </c>
      <c r="C1613" t="s">
        <v>38</v>
      </c>
      <c r="D1613" t="s">
        <v>39</v>
      </c>
      <c r="E1613">
        <v>5.7626013866884804</v>
      </c>
      <c r="J1613">
        <f t="shared" si="25"/>
        <v>5.7626013866884804</v>
      </c>
    </row>
    <row r="1614" spans="1:10" x14ac:dyDescent="0.25">
      <c r="A1614" t="s">
        <v>232</v>
      </c>
      <c r="B1614" t="s">
        <v>233</v>
      </c>
      <c r="C1614" t="s">
        <v>40</v>
      </c>
      <c r="D1614" t="s">
        <v>41</v>
      </c>
      <c r="E1614">
        <v>88.141756999999998</v>
      </c>
      <c r="F1614">
        <v>86.024574999999999</v>
      </c>
      <c r="G1614">
        <v>86.536243999999996</v>
      </c>
      <c r="H1614">
        <v>88.722151999999994</v>
      </c>
      <c r="J1614">
        <f t="shared" si="25"/>
        <v>88.722151999999994</v>
      </c>
    </row>
    <row r="1615" spans="1:10" x14ac:dyDescent="0.25">
      <c r="A1615" t="s">
        <v>232</v>
      </c>
      <c r="B1615" t="s">
        <v>233</v>
      </c>
      <c r="C1615" t="s">
        <v>42</v>
      </c>
      <c r="D1615" t="s">
        <v>43</v>
      </c>
      <c r="J1615">
        <f t="shared" si="25"/>
        <v>0</v>
      </c>
    </row>
    <row r="1616" spans="1:10" x14ac:dyDescent="0.25">
      <c r="A1616" t="s">
        <v>232</v>
      </c>
      <c r="B1616" t="s">
        <v>233</v>
      </c>
      <c r="C1616" t="s">
        <v>44</v>
      </c>
      <c r="D1616" t="s">
        <v>45</v>
      </c>
      <c r="E1616">
        <v>6</v>
      </c>
      <c r="J1616">
        <f t="shared" si="25"/>
        <v>6</v>
      </c>
    </row>
    <row r="1617" spans="1:10" x14ac:dyDescent="0.25">
      <c r="A1617" t="s">
        <v>234</v>
      </c>
      <c r="B1617" t="s">
        <v>235</v>
      </c>
      <c r="C1617" t="s">
        <v>11</v>
      </c>
      <c r="D1617" t="s">
        <v>12</v>
      </c>
      <c r="G1617">
        <v>54.42</v>
      </c>
      <c r="J1617">
        <f t="shared" si="25"/>
        <v>54.42</v>
      </c>
    </row>
    <row r="1618" spans="1:10" x14ac:dyDescent="0.25">
      <c r="A1618" t="s">
        <v>234</v>
      </c>
      <c r="B1618" t="s">
        <v>235</v>
      </c>
      <c r="C1618" t="s">
        <v>14</v>
      </c>
      <c r="D1618" t="s">
        <v>15</v>
      </c>
      <c r="G1618">
        <v>55.35</v>
      </c>
      <c r="J1618">
        <f t="shared" si="25"/>
        <v>55.35</v>
      </c>
    </row>
    <row r="1619" spans="1:10" x14ac:dyDescent="0.25">
      <c r="A1619" t="s">
        <v>234</v>
      </c>
      <c r="B1619" t="s">
        <v>235</v>
      </c>
      <c r="C1619" t="s">
        <v>16</v>
      </c>
      <c r="D1619" t="s">
        <v>17</v>
      </c>
      <c r="G1619">
        <v>53.49</v>
      </c>
      <c r="J1619">
        <f t="shared" si="25"/>
        <v>53.49</v>
      </c>
    </row>
    <row r="1620" spans="1:10" x14ac:dyDescent="0.25">
      <c r="A1620" t="s">
        <v>234</v>
      </c>
      <c r="B1620" t="s">
        <v>235</v>
      </c>
      <c r="C1620" t="s">
        <v>18</v>
      </c>
      <c r="D1620" t="s">
        <v>19</v>
      </c>
      <c r="G1620">
        <v>47.84</v>
      </c>
      <c r="J1620">
        <f t="shared" si="25"/>
        <v>47.84</v>
      </c>
    </row>
    <row r="1621" spans="1:10" x14ac:dyDescent="0.25">
      <c r="A1621" t="s">
        <v>234</v>
      </c>
      <c r="B1621" t="s">
        <v>235</v>
      </c>
      <c r="C1621" t="s">
        <v>20</v>
      </c>
      <c r="D1621" t="s">
        <v>21</v>
      </c>
      <c r="G1621">
        <v>45.54</v>
      </c>
      <c r="J1621">
        <f t="shared" si="25"/>
        <v>45.54</v>
      </c>
    </row>
    <row r="1622" spans="1:10" x14ac:dyDescent="0.25">
      <c r="A1622" t="s">
        <v>234</v>
      </c>
      <c r="B1622" t="s">
        <v>235</v>
      </c>
      <c r="C1622" t="s">
        <v>22</v>
      </c>
      <c r="D1622" t="s">
        <v>23</v>
      </c>
      <c r="G1622">
        <v>43.61</v>
      </c>
      <c r="J1622">
        <f t="shared" si="25"/>
        <v>43.61</v>
      </c>
    </row>
    <row r="1623" spans="1:10" x14ac:dyDescent="0.25">
      <c r="A1623" t="s">
        <v>234</v>
      </c>
      <c r="B1623" t="s">
        <v>235</v>
      </c>
      <c r="C1623" t="s">
        <v>24</v>
      </c>
      <c r="D1623" t="s">
        <v>25</v>
      </c>
      <c r="J1623">
        <f t="shared" si="25"/>
        <v>0</v>
      </c>
    </row>
    <row r="1624" spans="1:10" x14ac:dyDescent="0.25">
      <c r="A1624" t="s">
        <v>234</v>
      </c>
      <c r="B1624" t="s">
        <v>235</v>
      </c>
      <c r="C1624" t="s">
        <v>26</v>
      </c>
      <c r="D1624" t="s">
        <v>27</v>
      </c>
      <c r="I1624">
        <v>16.100000000000001</v>
      </c>
      <c r="J1624">
        <f t="shared" si="25"/>
        <v>16.100000000000001</v>
      </c>
    </row>
    <row r="1625" spans="1:10" x14ac:dyDescent="0.25">
      <c r="A1625" t="s">
        <v>234</v>
      </c>
      <c r="B1625" t="s">
        <v>235</v>
      </c>
      <c r="C1625" t="s">
        <v>28</v>
      </c>
      <c r="D1625" t="s">
        <v>29</v>
      </c>
      <c r="E1625">
        <v>6</v>
      </c>
      <c r="J1625">
        <f t="shared" si="25"/>
        <v>6</v>
      </c>
    </row>
    <row r="1626" spans="1:10" x14ac:dyDescent="0.25">
      <c r="A1626" t="s">
        <v>234</v>
      </c>
      <c r="B1626" t="s">
        <v>235</v>
      </c>
      <c r="C1626" t="s">
        <v>30</v>
      </c>
      <c r="D1626" t="s">
        <v>31</v>
      </c>
      <c r="J1626">
        <f t="shared" si="25"/>
        <v>0</v>
      </c>
    </row>
    <row r="1627" spans="1:10" x14ac:dyDescent="0.25">
      <c r="A1627" t="s">
        <v>234</v>
      </c>
      <c r="B1627" t="s">
        <v>235</v>
      </c>
      <c r="C1627" t="s">
        <v>32</v>
      </c>
      <c r="D1627" t="s">
        <v>33</v>
      </c>
      <c r="E1627">
        <v>13</v>
      </c>
      <c r="F1627">
        <v>13</v>
      </c>
      <c r="G1627">
        <v>13</v>
      </c>
      <c r="H1627">
        <v>13</v>
      </c>
      <c r="I1627">
        <v>13</v>
      </c>
      <c r="J1627">
        <f t="shared" si="25"/>
        <v>13</v>
      </c>
    </row>
    <row r="1628" spans="1:10" x14ac:dyDescent="0.25">
      <c r="A1628" t="s">
        <v>234</v>
      </c>
      <c r="B1628" t="s">
        <v>235</v>
      </c>
      <c r="C1628" t="s">
        <v>34</v>
      </c>
      <c r="D1628" t="s">
        <v>35</v>
      </c>
      <c r="E1628">
        <v>19.523809432983398</v>
      </c>
      <c r="F1628">
        <v>21.428571701049801</v>
      </c>
      <c r="G1628">
        <v>16.6666660308838</v>
      </c>
      <c r="H1628">
        <v>15.0943393707275</v>
      </c>
      <c r="I1628">
        <v>16.037734985351602</v>
      </c>
      <c r="J1628">
        <f t="shared" si="25"/>
        <v>21.428571701049801</v>
      </c>
    </row>
    <row r="1629" spans="1:10" x14ac:dyDescent="0.25">
      <c r="A1629" t="s">
        <v>234</v>
      </c>
      <c r="B1629" t="s">
        <v>235</v>
      </c>
      <c r="C1629" t="s">
        <v>36</v>
      </c>
      <c r="D1629" t="s">
        <v>37</v>
      </c>
      <c r="E1629">
        <v>65.629513823984198</v>
      </c>
      <c r="F1629">
        <v>76.541349625306907</v>
      </c>
      <c r="J1629">
        <f t="shared" si="25"/>
        <v>76.541349625306907</v>
      </c>
    </row>
    <row r="1630" spans="1:10" x14ac:dyDescent="0.25">
      <c r="A1630" t="s">
        <v>234</v>
      </c>
      <c r="B1630" t="s">
        <v>235</v>
      </c>
      <c r="C1630" t="s">
        <v>38</v>
      </c>
      <c r="D1630" t="s">
        <v>39</v>
      </c>
      <c r="E1630">
        <v>1.0251163136083301</v>
      </c>
      <c r="F1630">
        <v>0.80260462085690698</v>
      </c>
      <c r="J1630">
        <f t="shared" si="25"/>
        <v>1.0251163136083301</v>
      </c>
    </row>
    <row r="1631" spans="1:10" x14ac:dyDescent="0.25">
      <c r="A1631" t="s">
        <v>234</v>
      </c>
      <c r="B1631" t="s">
        <v>235</v>
      </c>
      <c r="C1631" t="s">
        <v>40</v>
      </c>
      <c r="D1631" t="s">
        <v>41</v>
      </c>
      <c r="E1631">
        <v>83.694025999999994</v>
      </c>
      <c r="F1631">
        <v>82.250945000000002</v>
      </c>
      <c r="G1631">
        <v>73.567537999999999</v>
      </c>
      <c r="H1631">
        <v>81.281431999999995</v>
      </c>
      <c r="J1631">
        <f t="shared" si="25"/>
        <v>83.694025999999994</v>
      </c>
    </row>
    <row r="1632" spans="1:10" x14ac:dyDescent="0.25">
      <c r="A1632" t="s">
        <v>234</v>
      </c>
      <c r="B1632" t="s">
        <v>235</v>
      </c>
      <c r="C1632" t="s">
        <v>42</v>
      </c>
      <c r="D1632" t="s">
        <v>43</v>
      </c>
      <c r="J1632">
        <f t="shared" si="25"/>
        <v>0</v>
      </c>
    </row>
    <row r="1633" spans="1:10" x14ac:dyDescent="0.25">
      <c r="A1633" t="s">
        <v>234</v>
      </c>
      <c r="B1633" t="s">
        <v>235</v>
      </c>
      <c r="C1633" t="s">
        <v>44</v>
      </c>
      <c r="D1633" t="s">
        <v>45</v>
      </c>
      <c r="E1633">
        <v>35</v>
      </c>
      <c r="J1633">
        <f t="shared" si="25"/>
        <v>35</v>
      </c>
    </row>
    <row r="1634" spans="1:10" x14ac:dyDescent="0.25">
      <c r="A1634" t="s">
        <v>236</v>
      </c>
      <c r="B1634" t="s">
        <v>237</v>
      </c>
      <c r="C1634" t="s">
        <v>11</v>
      </c>
      <c r="D1634" t="s">
        <v>12</v>
      </c>
      <c r="G1634">
        <v>57.5</v>
      </c>
      <c r="J1634">
        <f t="shared" si="25"/>
        <v>57.5</v>
      </c>
    </row>
    <row r="1635" spans="1:10" x14ac:dyDescent="0.25">
      <c r="A1635" t="s">
        <v>236</v>
      </c>
      <c r="B1635" t="s">
        <v>237</v>
      </c>
      <c r="C1635" t="s">
        <v>14</v>
      </c>
      <c r="D1635" t="s">
        <v>15</v>
      </c>
      <c r="G1635">
        <v>53.03</v>
      </c>
      <c r="J1635">
        <f t="shared" si="25"/>
        <v>53.03</v>
      </c>
    </row>
    <row r="1636" spans="1:10" x14ac:dyDescent="0.25">
      <c r="A1636" t="s">
        <v>236</v>
      </c>
      <c r="B1636" t="s">
        <v>237</v>
      </c>
      <c r="C1636" t="s">
        <v>16</v>
      </c>
      <c r="D1636" t="s">
        <v>17</v>
      </c>
      <c r="G1636">
        <v>62.32</v>
      </c>
      <c r="J1636">
        <f t="shared" si="25"/>
        <v>62.32</v>
      </c>
    </row>
    <row r="1637" spans="1:10" x14ac:dyDescent="0.25">
      <c r="A1637" t="s">
        <v>236</v>
      </c>
      <c r="B1637" t="s">
        <v>237</v>
      </c>
      <c r="C1637" t="s">
        <v>18</v>
      </c>
      <c r="D1637" t="s">
        <v>19</v>
      </c>
      <c r="G1637">
        <v>45.54</v>
      </c>
      <c r="J1637">
        <f t="shared" si="25"/>
        <v>45.54</v>
      </c>
    </row>
    <row r="1638" spans="1:10" x14ac:dyDescent="0.25">
      <c r="A1638" t="s">
        <v>236</v>
      </c>
      <c r="B1638" t="s">
        <v>237</v>
      </c>
      <c r="C1638" t="s">
        <v>20</v>
      </c>
      <c r="D1638" t="s">
        <v>21</v>
      </c>
      <c r="G1638">
        <v>46.62</v>
      </c>
      <c r="J1638">
        <f t="shared" si="25"/>
        <v>46.62</v>
      </c>
    </row>
    <row r="1639" spans="1:10" x14ac:dyDescent="0.25">
      <c r="A1639" t="s">
        <v>236</v>
      </c>
      <c r="B1639" t="s">
        <v>237</v>
      </c>
      <c r="C1639" t="s">
        <v>22</v>
      </c>
      <c r="D1639" t="s">
        <v>23</v>
      </c>
      <c r="G1639">
        <v>40.93</v>
      </c>
      <c r="J1639">
        <f t="shared" si="25"/>
        <v>40.93</v>
      </c>
    </row>
    <row r="1640" spans="1:10" x14ac:dyDescent="0.25">
      <c r="A1640" t="s">
        <v>236</v>
      </c>
      <c r="B1640" t="s">
        <v>237</v>
      </c>
      <c r="C1640" t="s">
        <v>24</v>
      </c>
      <c r="D1640" t="s">
        <v>25</v>
      </c>
      <c r="J1640">
        <f t="shared" si="25"/>
        <v>0</v>
      </c>
    </row>
    <row r="1641" spans="1:10" x14ac:dyDescent="0.25">
      <c r="A1641" t="s">
        <v>236</v>
      </c>
      <c r="B1641" t="s">
        <v>237</v>
      </c>
      <c r="C1641" t="s">
        <v>26</v>
      </c>
      <c r="D1641" t="s">
        <v>27</v>
      </c>
      <c r="I1641">
        <v>7.6</v>
      </c>
      <c r="J1641">
        <f t="shared" si="25"/>
        <v>7.6</v>
      </c>
    </row>
    <row r="1642" spans="1:10" x14ac:dyDescent="0.25">
      <c r="A1642" t="s">
        <v>236</v>
      </c>
      <c r="B1642" t="s">
        <v>237</v>
      </c>
      <c r="C1642" t="s">
        <v>28</v>
      </c>
      <c r="D1642" t="s">
        <v>29</v>
      </c>
      <c r="E1642">
        <v>9</v>
      </c>
      <c r="J1642">
        <f t="shared" si="25"/>
        <v>9</v>
      </c>
    </row>
    <row r="1643" spans="1:10" x14ac:dyDescent="0.25">
      <c r="A1643" t="s">
        <v>236</v>
      </c>
      <c r="B1643" t="s">
        <v>237</v>
      </c>
      <c r="C1643" t="s">
        <v>30</v>
      </c>
      <c r="D1643" t="s">
        <v>31</v>
      </c>
      <c r="E1643">
        <v>26.526605030409598</v>
      </c>
      <c r="F1643">
        <v>34.764915043836098</v>
      </c>
      <c r="G1643">
        <v>35.245253713184802</v>
      </c>
      <c r="J1643">
        <f t="shared" si="25"/>
        <v>35.245253713184802</v>
      </c>
    </row>
    <row r="1644" spans="1:10" x14ac:dyDescent="0.25">
      <c r="A1644" t="s">
        <v>236</v>
      </c>
      <c r="B1644" t="s">
        <v>237</v>
      </c>
      <c r="C1644" t="s">
        <v>32</v>
      </c>
      <c r="D1644" t="s">
        <v>33</v>
      </c>
      <c r="E1644">
        <v>14</v>
      </c>
      <c r="F1644">
        <v>14</v>
      </c>
      <c r="G1644">
        <v>14</v>
      </c>
      <c r="H1644">
        <v>14</v>
      </c>
      <c r="I1644">
        <v>14</v>
      </c>
      <c r="J1644">
        <f t="shared" si="25"/>
        <v>14</v>
      </c>
    </row>
    <row r="1645" spans="1:10" x14ac:dyDescent="0.25">
      <c r="A1645" t="s">
        <v>236</v>
      </c>
      <c r="B1645" t="s">
        <v>237</v>
      </c>
      <c r="C1645" t="s">
        <v>34</v>
      </c>
      <c r="D1645" t="s">
        <v>35</v>
      </c>
      <c r="E1645">
        <v>34.285713195800803</v>
      </c>
      <c r="F1645">
        <v>32.857143402099602</v>
      </c>
      <c r="G1645">
        <v>28.571428298950199</v>
      </c>
      <c r="H1645">
        <v>22.1698112487793</v>
      </c>
      <c r="I1645">
        <v>25.4716987609863</v>
      </c>
      <c r="J1645">
        <f t="shared" si="25"/>
        <v>34.285713195800803</v>
      </c>
    </row>
    <row r="1646" spans="1:10" x14ac:dyDescent="0.25">
      <c r="A1646" t="s">
        <v>236</v>
      </c>
      <c r="B1646" t="s">
        <v>237</v>
      </c>
      <c r="C1646" t="s">
        <v>36</v>
      </c>
      <c r="D1646" t="s">
        <v>37</v>
      </c>
      <c r="E1646">
        <v>57.837583710924498</v>
      </c>
      <c r="F1646">
        <v>75.034827802301905</v>
      </c>
      <c r="G1646">
        <v>87.481666098492795</v>
      </c>
      <c r="J1646">
        <f t="shared" si="25"/>
        <v>87.481666098492795</v>
      </c>
    </row>
    <row r="1647" spans="1:10" x14ac:dyDescent="0.25">
      <c r="A1647" t="s">
        <v>236</v>
      </c>
      <c r="B1647" t="s">
        <v>237</v>
      </c>
      <c r="C1647" t="s">
        <v>38</v>
      </c>
      <c r="D1647" t="s">
        <v>39</v>
      </c>
      <c r="E1647">
        <v>0.88073438149112704</v>
      </c>
      <c r="F1647">
        <v>1.64309986876228</v>
      </c>
      <c r="G1647">
        <v>1.63791422286621</v>
      </c>
      <c r="J1647">
        <f t="shared" si="25"/>
        <v>1.64309986876228</v>
      </c>
    </row>
    <row r="1648" spans="1:10" x14ac:dyDescent="0.25">
      <c r="A1648" t="s">
        <v>236</v>
      </c>
      <c r="B1648" t="s">
        <v>237</v>
      </c>
      <c r="C1648" t="s">
        <v>40</v>
      </c>
      <c r="D1648" t="s">
        <v>41</v>
      </c>
      <c r="E1648">
        <v>84.252999000000003</v>
      </c>
      <c r="F1648">
        <v>82.306521000000004</v>
      </c>
      <c r="G1648">
        <v>77.711633000000006</v>
      </c>
      <c r="H1648">
        <v>85.832278000000002</v>
      </c>
      <c r="J1648">
        <f t="shared" si="25"/>
        <v>85.832278000000002</v>
      </c>
    </row>
    <row r="1649" spans="1:10" x14ac:dyDescent="0.25">
      <c r="A1649" t="s">
        <v>236</v>
      </c>
      <c r="B1649" t="s">
        <v>237</v>
      </c>
      <c r="C1649" t="s">
        <v>42</v>
      </c>
      <c r="D1649" t="s">
        <v>43</v>
      </c>
      <c r="J1649">
        <f t="shared" si="25"/>
        <v>0</v>
      </c>
    </row>
    <row r="1650" spans="1:10" x14ac:dyDescent="0.25">
      <c r="A1650" t="s">
        <v>236</v>
      </c>
      <c r="B1650" t="s">
        <v>237</v>
      </c>
      <c r="C1650" t="s">
        <v>44</v>
      </c>
      <c r="D1650" t="s">
        <v>45</v>
      </c>
      <c r="E1650">
        <v>26</v>
      </c>
      <c r="J1650">
        <f t="shared" si="25"/>
        <v>26</v>
      </c>
    </row>
    <row r="1651" spans="1:10" x14ac:dyDescent="0.25">
      <c r="A1651" t="s">
        <v>238</v>
      </c>
      <c r="B1651" t="s">
        <v>239</v>
      </c>
      <c r="C1651" t="s">
        <v>11</v>
      </c>
      <c r="D1651" t="s">
        <v>12</v>
      </c>
      <c r="G1651">
        <v>51.37</v>
      </c>
      <c r="J1651">
        <f t="shared" si="25"/>
        <v>51.37</v>
      </c>
    </row>
    <row r="1652" spans="1:10" x14ac:dyDescent="0.25">
      <c r="A1652" t="s">
        <v>238</v>
      </c>
      <c r="B1652" t="s">
        <v>239</v>
      </c>
      <c r="C1652" t="s">
        <v>14</v>
      </c>
      <c r="D1652" t="s">
        <v>15</v>
      </c>
      <c r="G1652">
        <v>47.42</v>
      </c>
      <c r="J1652">
        <f t="shared" si="25"/>
        <v>47.42</v>
      </c>
    </row>
    <row r="1653" spans="1:10" x14ac:dyDescent="0.25">
      <c r="A1653" t="s">
        <v>238</v>
      </c>
      <c r="B1653" t="s">
        <v>239</v>
      </c>
      <c r="C1653" t="s">
        <v>16</v>
      </c>
      <c r="D1653" t="s">
        <v>17</v>
      </c>
      <c r="G1653">
        <v>55.59</v>
      </c>
      <c r="J1653">
        <f t="shared" si="25"/>
        <v>55.59</v>
      </c>
    </row>
    <row r="1654" spans="1:10" x14ac:dyDescent="0.25">
      <c r="A1654" t="s">
        <v>238</v>
      </c>
      <c r="B1654" t="s">
        <v>239</v>
      </c>
      <c r="C1654" t="s">
        <v>18</v>
      </c>
      <c r="D1654" t="s">
        <v>19</v>
      </c>
      <c r="G1654">
        <v>33.99</v>
      </c>
      <c r="J1654">
        <f t="shared" si="25"/>
        <v>33.99</v>
      </c>
    </row>
    <row r="1655" spans="1:10" x14ac:dyDescent="0.25">
      <c r="A1655" t="s">
        <v>238</v>
      </c>
      <c r="B1655" t="s">
        <v>239</v>
      </c>
      <c r="C1655" t="s">
        <v>20</v>
      </c>
      <c r="D1655" t="s">
        <v>21</v>
      </c>
      <c r="G1655">
        <v>40.17</v>
      </c>
      <c r="J1655">
        <f t="shared" si="25"/>
        <v>40.17</v>
      </c>
    </row>
    <row r="1656" spans="1:10" x14ac:dyDescent="0.25">
      <c r="A1656" t="s">
        <v>238</v>
      </c>
      <c r="B1656" t="s">
        <v>239</v>
      </c>
      <c r="C1656" t="s">
        <v>22</v>
      </c>
      <c r="D1656" t="s">
        <v>23</v>
      </c>
      <c r="G1656">
        <v>32.770000000000003</v>
      </c>
      <c r="J1656">
        <f t="shared" si="25"/>
        <v>32.770000000000003</v>
      </c>
    </row>
    <row r="1657" spans="1:10" x14ac:dyDescent="0.25">
      <c r="A1657" t="s">
        <v>238</v>
      </c>
      <c r="B1657" t="s">
        <v>239</v>
      </c>
      <c r="C1657" t="s">
        <v>24</v>
      </c>
      <c r="D1657" t="s">
        <v>25</v>
      </c>
      <c r="J1657">
        <f t="shared" si="25"/>
        <v>0</v>
      </c>
    </row>
    <row r="1658" spans="1:10" x14ac:dyDescent="0.25">
      <c r="A1658" t="s">
        <v>238</v>
      </c>
      <c r="B1658" t="s">
        <v>239</v>
      </c>
      <c r="C1658" t="s">
        <v>26</v>
      </c>
      <c r="D1658" t="s">
        <v>27</v>
      </c>
      <c r="I1658">
        <v>8.3000000000000007</v>
      </c>
      <c r="J1658">
        <f t="shared" si="25"/>
        <v>8.3000000000000007</v>
      </c>
    </row>
    <row r="1659" spans="1:10" x14ac:dyDescent="0.25">
      <c r="A1659" t="s">
        <v>238</v>
      </c>
      <c r="B1659" t="s">
        <v>239</v>
      </c>
      <c r="C1659" t="s">
        <v>28</v>
      </c>
      <c r="D1659" t="s">
        <v>29</v>
      </c>
      <c r="E1659">
        <v>9</v>
      </c>
      <c r="J1659">
        <f t="shared" si="25"/>
        <v>9</v>
      </c>
    </row>
    <row r="1660" spans="1:10" x14ac:dyDescent="0.25">
      <c r="A1660" t="s">
        <v>238</v>
      </c>
      <c r="B1660" t="s">
        <v>239</v>
      </c>
      <c r="C1660" t="s">
        <v>30</v>
      </c>
      <c r="D1660" t="s">
        <v>31</v>
      </c>
      <c r="J1660">
        <f t="shared" si="25"/>
        <v>0</v>
      </c>
    </row>
    <row r="1661" spans="1:10" x14ac:dyDescent="0.25">
      <c r="A1661" t="s">
        <v>238</v>
      </c>
      <c r="B1661" t="s">
        <v>239</v>
      </c>
      <c r="C1661" t="s">
        <v>32</v>
      </c>
      <c r="D1661" t="s">
        <v>33</v>
      </c>
      <c r="E1661">
        <v>13</v>
      </c>
      <c r="F1661">
        <v>13</v>
      </c>
      <c r="G1661">
        <v>13</v>
      </c>
      <c r="H1661">
        <v>13</v>
      </c>
      <c r="I1661">
        <v>13</v>
      </c>
      <c r="J1661">
        <f t="shared" si="25"/>
        <v>13</v>
      </c>
    </row>
    <row r="1662" spans="1:10" x14ac:dyDescent="0.25">
      <c r="A1662" t="s">
        <v>238</v>
      </c>
      <c r="B1662" t="s">
        <v>239</v>
      </c>
      <c r="C1662" t="s">
        <v>34</v>
      </c>
      <c r="D1662" t="s">
        <v>35</v>
      </c>
      <c r="E1662">
        <v>30.9523811340332</v>
      </c>
      <c r="F1662">
        <v>33.333332061767599</v>
      </c>
      <c r="G1662">
        <v>33.809524536132798</v>
      </c>
      <c r="H1662">
        <v>33.490566253662102</v>
      </c>
      <c r="I1662">
        <v>32.547168731689503</v>
      </c>
      <c r="J1662">
        <f t="shared" si="25"/>
        <v>33.809524536132798</v>
      </c>
    </row>
    <row r="1663" spans="1:10" x14ac:dyDescent="0.25">
      <c r="A1663" t="s">
        <v>238</v>
      </c>
      <c r="B1663" t="s">
        <v>239</v>
      </c>
      <c r="C1663" t="s">
        <v>36</v>
      </c>
      <c r="D1663" t="s">
        <v>37</v>
      </c>
      <c r="J1663">
        <f t="shared" si="25"/>
        <v>0</v>
      </c>
    </row>
    <row r="1664" spans="1:10" x14ac:dyDescent="0.25">
      <c r="A1664" t="s">
        <v>238</v>
      </c>
      <c r="B1664" t="s">
        <v>239</v>
      </c>
      <c r="C1664" t="s">
        <v>38</v>
      </c>
      <c r="D1664" t="s">
        <v>39</v>
      </c>
      <c r="J1664">
        <f t="shared" si="25"/>
        <v>0</v>
      </c>
    </row>
    <row r="1665" spans="1:10" x14ac:dyDescent="0.25">
      <c r="A1665" t="s">
        <v>238</v>
      </c>
      <c r="B1665" t="s">
        <v>239</v>
      </c>
      <c r="C1665" t="s">
        <v>40</v>
      </c>
      <c r="D1665" t="s">
        <v>41</v>
      </c>
      <c r="E1665">
        <v>78.264542000000006</v>
      </c>
      <c r="F1665">
        <v>78.304129000000003</v>
      </c>
      <c r="G1665">
        <v>72.870727000000002</v>
      </c>
      <c r="H1665">
        <v>77.968490000000003</v>
      </c>
      <c r="J1665">
        <f t="shared" si="25"/>
        <v>78.304129000000003</v>
      </c>
    </row>
    <row r="1666" spans="1:10" x14ac:dyDescent="0.25">
      <c r="A1666" t="s">
        <v>238</v>
      </c>
      <c r="B1666" t="s">
        <v>239</v>
      </c>
      <c r="C1666" t="s">
        <v>42</v>
      </c>
      <c r="D1666" t="s">
        <v>43</v>
      </c>
      <c r="J1666">
        <f t="shared" si="25"/>
        <v>0</v>
      </c>
    </row>
    <row r="1667" spans="1:10" x14ac:dyDescent="0.25">
      <c r="A1667" t="s">
        <v>238</v>
      </c>
      <c r="B1667" t="s">
        <v>239</v>
      </c>
      <c r="C1667" t="s">
        <v>44</v>
      </c>
      <c r="D1667" t="s">
        <v>45</v>
      </c>
      <c r="E1667">
        <v>33</v>
      </c>
      <c r="J1667">
        <f t="shared" ref="J1667:J1730" si="26">MAX(E1667:I1667)</f>
        <v>33</v>
      </c>
    </row>
    <row r="1668" spans="1:10" x14ac:dyDescent="0.25">
      <c r="A1668" t="s">
        <v>240</v>
      </c>
      <c r="B1668" t="s">
        <v>241</v>
      </c>
      <c r="C1668" t="s">
        <v>11</v>
      </c>
      <c r="D1668" t="s">
        <v>12</v>
      </c>
      <c r="G1668">
        <v>95.72</v>
      </c>
      <c r="J1668">
        <f t="shared" si="26"/>
        <v>95.72</v>
      </c>
    </row>
    <row r="1669" spans="1:10" x14ac:dyDescent="0.25">
      <c r="A1669" t="s">
        <v>240</v>
      </c>
      <c r="B1669" t="s">
        <v>241</v>
      </c>
      <c r="C1669" t="s">
        <v>14</v>
      </c>
      <c r="D1669" t="s">
        <v>15</v>
      </c>
      <c r="G1669">
        <v>95.69</v>
      </c>
      <c r="J1669">
        <f t="shared" si="26"/>
        <v>95.69</v>
      </c>
    </row>
    <row r="1670" spans="1:10" x14ac:dyDescent="0.25">
      <c r="A1670" t="s">
        <v>240</v>
      </c>
      <c r="B1670" t="s">
        <v>241</v>
      </c>
      <c r="C1670" t="s">
        <v>16</v>
      </c>
      <c r="D1670" t="s">
        <v>17</v>
      </c>
      <c r="G1670">
        <v>95.75</v>
      </c>
      <c r="J1670">
        <f t="shared" si="26"/>
        <v>95.75</v>
      </c>
    </row>
    <row r="1671" spans="1:10" x14ac:dyDescent="0.25">
      <c r="A1671" t="s">
        <v>240</v>
      </c>
      <c r="B1671" t="s">
        <v>241</v>
      </c>
      <c r="C1671" t="s">
        <v>18</v>
      </c>
      <c r="D1671" t="s">
        <v>19</v>
      </c>
      <c r="G1671">
        <v>93.92</v>
      </c>
      <c r="J1671">
        <f t="shared" si="26"/>
        <v>93.92</v>
      </c>
    </row>
    <row r="1672" spans="1:10" x14ac:dyDescent="0.25">
      <c r="A1672" t="s">
        <v>240</v>
      </c>
      <c r="B1672" t="s">
        <v>241</v>
      </c>
      <c r="C1672" t="s">
        <v>20</v>
      </c>
      <c r="D1672" t="s">
        <v>21</v>
      </c>
      <c r="G1672">
        <v>98.05</v>
      </c>
      <c r="J1672">
        <f t="shared" si="26"/>
        <v>98.05</v>
      </c>
    </row>
    <row r="1673" spans="1:10" x14ac:dyDescent="0.25">
      <c r="A1673" t="s">
        <v>240</v>
      </c>
      <c r="B1673" t="s">
        <v>241</v>
      </c>
      <c r="C1673" t="s">
        <v>22</v>
      </c>
      <c r="D1673" t="s">
        <v>23</v>
      </c>
      <c r="G1673">
        <v>71.31</v>
      </c>
      <c r="J1673">
        <f t="shared" si="26"/>
        <v>71.31</v>
      </c>
    </row>
    <row r="1674" spans="1:10" x14ac:dyDescent="0.25">
      <c r="A1674" t="s">
        <v>240</v>
      </c>
      <c r="B1674" t="s">
        <v>241</v>
      </c>
      <c r="C1674" t="s">
        <v>24</v>
      </c>
      <c r="D1674" t="s">
        <v>25</v>
      </c>
      <c r="J1674">
        <f t="shared" si="26"/>
        <v>0</v>
      </c>
    </row>
    <row r="1675" spans="1:10" x14ac:dyDescent="0.25">
      <c r="A1675" t="s">
        <v>240</v>
      </c>
      <c r="B1675" t="s">
        <v>241</v>
      </c>
      <c r="C1675" t="s">
        <v>26</v>
      </c>
      <c r="D1675" t="s">
        <v>27</v>
      </c>
      <c r="E1675">
        <v>2.8</v>
      </c>
      <c r="J1675">
        <f t="shared" si="26"/>
        <v>2.8</v>
      </c>
    </row>
    <row r="1676" spans="1:10" x14ac:dyDescent="0.25">
      <c r="A1676" t="s">
        <v>240</v>
      </c>
      <c r="B1676" t="s">
        <v>241</v>
      </c>
      <c r="C1676" t="s">
        <v>28</v>
      </c>
      <c r="D1676" t="s">
        <v>29</v>
      </c>
      <c r="E1676">
        <v>7</v>
      </c>
      <c r="J1676">
        <f t="shared" si="26"/>
        <v>7</v>
      </c>
    </row>
    <row r="1677" spans="1:10" x14ac:dyDescent="0.25">
      <c r="A1677" t="s">
        <v>240</v>
      </c>
      <c r="B1677" t="s">
        <v>241</v>
      </c>
      <c r="C1677" t="s">
        <v>30</v>
      </c>
      <c r="D1677" t="s">
        <v>31</v>
      </c>
      <c r="J1677">
        <f t="shared" si="26"/>
        <v>0</v>
      </c>
    </row>
    <row r="1678" spans="1:10" x14ac:dyDescent="0.25">
      <c r="A1678" t="s">
        <v>240</v>
      </c>
      <c r="B1678" t="s">
        <v>241</v>
      </c>
      <c r="C1678" t="s">
        <v>32</v>
      </c>
      <c r="D1678" t="s">
        <v>33</v>
      </c>
      <c r="E1678">
        <v>10</v>
      </c>
      <c r="F1678">
        <v>9</v>
      </c>
      <c r="G1678">
        <v>9</v>
      </c>
      <c r="H1678">
        <v>9</v>
      </c>
      <c r="I1678">
        <v>9</v>
      </c>
      <c r="J1678">
        <f t="shared" si="26"/>
        <v>10</v>
      </c>
    </row>
    <row r="1679" spans="1:10" x14ac:dyDescent="0.25">
      <c r="A1679" t="s">
        <v>240</v>
      </c>
      <c r="B1679" t="s">
        <v>241</v>
      </c>
      <c r="C1679" t="s">
        <v>34</v>
      </c>
      <c r="D1679" t="s">
        <v>35</v>
      </c>
      <c r="E1679">
        <v>71.428573608398395</v>
      </c>
      <c r="F1679">
        <v>72.380950927734403</v>
      </c>
      <c r="G1679">
        <v>68.095237731933594</v>
      </c>
      <c r="H1679">
        <v>68.396224975585895</v>
      </c>
      <c r="I1679">
        <v>68.867927551269503</v>
      </c>
      <c r="J1679">
        <f t="shared" si="26"/>
        <v>72.380950927734403</v>
      </c>
    </row>
    <row r="1680" spans="1:10" x14ac:dyDescent="0.25">
      <c r="A1680" t="s">
        <v>240</v>
      </c>
      <c r="B1680" t="s">
        <v>241</v>
      </c>
      <c r="C1680" t="s">
        <v>36</v>
      </c>
      <c r="D1680" t="s">
        <v>37</v>
      </c>
      <c r="J1680">
        <f t="shared" si="26"/>
        <v>0</v>
      </c>
    </row>
    <row r="1681" spans="1:10" x14ac:dyDescent="0.25">
      <c r="A1681" t="s">
        <v>240</v>
      </c>
      <c r="B1681" t="s">
        <v>241</v>
      </c>
      <c r="C1681" t="s">
        <v>38</v>
      </c>
      <c r="D1681" t="s">
        <v>39</v>
      </c>
      <c r="J1681">
        <f t="shared" si="26"/>
        <v>0</v>
      </c>
    </row>
    <row r="1682" spans="1:10" x14ac:dyDescent="0.25">
      <c r="A1682" t="s">
        <v>240</v>
      </c>
      <c r="B1682" t="s">
        <v>241</v>
      </c>
      <c r="C1682" t="s">
        <v>40</v>
      </c>
      <c r="D1682" t="s">
        <v>41</v>
      </c>
      <c r="E1682">
        <v>89.784958000000003</v>
      </c>
      <c r="F1682">
        <v>88.997062</v>
      </c>
      <c r="G1682">
        <v>87.852044000000006</v>
      </c>
      <c r="H1682">
        <v>89.859453999999999</v>
      </c>
      <c r="J1682">
        <f t="shared" si="26"/>
        <v>89.859453999999999</v>
      </c>
    </row>
    <row r="1683" spans="1:10" x14ac:dyDescent="0.25">
      <c r="A1683" t="s">
        <v>240</v>
      </c>
      <c r="B1683" t="s">
        <v>241</v>
      </c>
      <c r="C1683" t="s">
        <v>42</v>
      </c>
      <c r="D1683" t="s">
        <v>43</v>
      </c>
      <c r="J1683">
        <f t="shared" si="26"/>
        <v>0</v>
      </c>
    </row>
    <row r="1684" spans="1:10" x14ac:dyDescent="0.25">
      <c r="A1684" t="s">
        <v>240</v>
      </c>
      <c r="B1684" t="s">
        <v>241</v>
      </c>
      <c r="C1684" t="s">
        <v>44</v>
      </c>
      <c r="D1684" t="s">
        <v>45</v>
      </c>
      <c r="E1684">
        <v>37</v>
      </c>
      <c r="J1684">
        <f t="shared" si="26"/>
        <v>37</v>
      </c>
    </row>
    <row r="1685" spans="1:10" x14ac:dyDescent="0.25">
      <c r="A1685" t="s">
        <v>242</v>
      </c>
      <c r="B1685" t="s">
        <v>243</v>
      </c>
      <c r="C1685" t="s">
        <v>11</v>
      </c>
      <c r="D1685" t="s">
        <v>12</v>
      </c>
      <c r="G1685">
        <v>92.65</v>
      </c>
      <c r="J1685">
        <f t="shared" si="26"/>
        <v>92.65</v>
      </c>
    </row>
    <row r="1686" spans="1:10" x14ac:dyDescent="0.25">
      <c r="A1686" t="s">
        <v>242</v>
      </c>
      <c r="B1686" t="s">
        <v>243</v>
      </c>
      <c r="C1686" t="s">
        <v>14</v>
      </c>
      <c r="D1686" t="s">
        <v>15</v>
      </c>
      <c r="G1686">
        <v>90.18</v>
      </c>
      <c r="J1686">
        <f t="shared" si="26"/>
        <v>90.18</v>
      </c>
    </row>
    <row r="1687" spans="1:10" x14ac:dyDescent="0.25">
      <c r="A1687" t="s">
        <v>242</v>
      </c>
      <c r="B1687" t="s">
        <v>243</v>
      </c>
      <c r="C1687" t="s">
        <v>16</v>
      </c>
      <c r="D1687" t="s">
        <v>17</v>
      </c>
      <c r="G1687">
        <v>95.37</v>
      </c>
      <c r="J1687">
        <f t="shared" si="26"/>
        <v>95.37</v>
      </c>
    </row>
    <row r="1688" spans="1:10" x14ac:dyDescent="0.25">
      <c r="A1688" t="s">
        <v>242</v>
      </c>
      <c r="B1688" t="s">
        <v>243</v>
      </c>
      <c r="C1688" t="s">
        <v>18</v>
      </c>
      <c r="D1688" t="s">
        <v>19</v>
      </c>
      <c r="G1688">
        <v>87.62</v>
      </c>
      <c r="J1688">
        <f t="shared" si="26"/>
        <v>87.62</v>
      </c>
    </row>
    <row r="1689" spans="1:10" x14ac:dyDescent="0.25">
      <c r="A1689" t="s">
        <v>242</v>
      </c>
      <c r="B1689" t="s">
        <v>243</v>
      </c>
      <c r="C1689" t="s">
        <v>20</v>
      </c>
      <c r="D1689" t="s">
        <v>21</v>
      </c>
      <c r="G1689">
        <v>78.16</v>
      </c>
      <c r="J1689">
        <f t="shared" si="26"/>
        <v>78.16</v>
      </c>
    </row>
    <row r="1690" spans="1:10" x14ac:dyDescent="0.25">
      <c r="A1690" t="s">
        <v>242</v>
      </c>
      <c r="B1690" t="s">
        <v>243</v>
      </c>
      <c r="C1690" t="s">
        <v>22</v>
      </c>
      <c r="D1690" t="s">
        <v>23</v>
      </c>
      <c r="G1690">
        <v>89.89</v>
      </c>
      <c r="J1690">
        <f t="shared" si="26"/>
        <v>89.89</v>
      </c>
    </row>
    <row r="1691" spans="1:10" x14ac:dyDescent="0.25">
      <c r="A1691" t="s">
        <v>242</v>
      </c>
      <c r="B1691" t="s">
        <v>243</v>
      </c>
      <c r="C1691" t="s">
        <v>24</v>
      </c>
      <c r="D1691" t="s">
        <v>25</v>
      </c>
      <c r="J1691">
        <f t="shared" si="26"/>
        <v>0</v>
      </c>
    </row>
    <row r="1692" spans="1:10" x14ac:dyDescent="0.25">
      <c r="A1692" t="s">
        <v>242</v>
      </c>
      <c r="B1692" t="s">
        <v>243</v>
      </c>
      <c r="C1692" t="s">
        <v>26</v>
      </c>
      <c r="D1692" t="s">
        <v>27</v>
      </c>
      <c r="E1692">
        <v>0.3</v>
      </c>
      <c r="I1692">
        <v>7.7</v>
      </c>
      <c r="J1692">
        <f t="shared" si="26"/>
        <v>7.7</v>
      </c>
    </row>
    <row r="1693" spans="1:10" x14ac:dyDescent="0.25">
      <c r="A1693" t="s">
        <v>242</v>
      </c>
      <c r="B1693" t="s">
        <v>243</v>
      </c>
      <c r="C1693" t="s">
        <v>28</v>
      </c>
      <c r="D1693" t="s">
        <v>29</v>
      </c>
      <c r="E1693">
        <v>6</v>
      </c>
      <c r="J1693">
        <f t="shared" si="26"/>
        <v>6</v>
      </c>
    </row>
    <row r="1694" spans="1:10" x14ac:dyDescent="0.25">
      <c r="A1694" t="s">
        <v>242</v>
      </c>
      <c r="B1694" t="s">
        <v>243</v>
      </c>
      <c r="C1694" t="s">
        <v>30</v>
      </c>
      <c r="D1694" t="s">
        <v>31</v>
      </c>
      <c r="J1694">
        <f t="shared" si="26"/>
        <v>0</v>
      </c>
    </row>
    <row r="1695" spans="1:10" x14ac:dyDescent="0.25">
      <c r="A1695" t="s">
        <v>242</v>
      </c>
      <c r="B1695" t="s">
        <v>243</v>
      </c>
      <c r="C1695" t="s">
        <v>32</v>
      </c>
      <c r="D1695" t="s">
        <v>33</v>
      </c>
      <c r="E1695">
        <v>12</v>
      </c>
      <c r="F1695">
        <v>12</v>
      </c>
      <c r="G1695">
        <v>12</v>
      </c>
      <c r="H1695">
        <v>12</v>
      </c>
      <c r="I1695">
        <v>12</v>
      </c>
      <c r="J1695">
        <f t="shared" si="26"/>
        <v>12</v>
      </c>
    </row>
    <row r="1696" spans="1:10" x14ac:dyDescent="0.25">
      <c r="A1696" t="s">
        <v>242</v>
      </c>
      <c r="B1696" t="s">
        <v>243</v>
      </c>
      <c r="C1696" t="s">
        <v>34</v>
      </c>
      <c r="D1696" t="s">
        <v>35</v>
      </c>
      <c r="E1696">
        <v>76.666664123535199</v>
      </c>
      <c r="F1696">
        <v>76.666664123535199</v>
      </c>
      <c r="G1696">
        <v>77.142860412597699</v>
      </c>
      <c r="H1696">
        <v>75.943397521972699</v>
      </c>
      <c r="I1696">
        <v>74.056602478027301</v>
      </c>
      <c r="J1696">
        <f t="shared" si="26"/>
        <v>77.142860412597699</v>
      </c>
    </row>
    <row r="1697" spans="1:10" x14ac:dyDescent="0.25">
      <c r="A1697" t="s">
        <v>242</v>
      </c>
      <c r="B1697" t="s">
        <v>243</v>
      </c>
      <c r="C1697" t="s">
        <v>36</v>
      </c>
      <c r="D1697" t="s">
        <v>37</v>
      </c>
      <c r="J1697">
        <f t="shared" si="26"/>
        <v>0</v>
      </c>
    </row>
    <row r="1698" spans="1:10" x14ac:dyDescent="0.25">
      <c r="A1698" t="s">
        <v>242</v>
      </c>
      <c r="B1698" t="s">
        <v>243</v>
      </c>
      <c r="C1698" t="s">
        <v>38</v>
      </c>
      <c r="D1698" t="s">
        <v>39</v>
      </c>
      <c r="J1698">
        <f t="shared" si="26"/>
        <v>0</v>
      </c>
    </row>
    <row r="1699" spans="1:10" x14ac:dyDescent="0.25">
      <c r="A1699" t="s">
        <v>242</v>
      </c>
      <c r="B1699" t="s">
        <v>243</v>
      </c>
      <c r="C1699" t="s">
        <v>40</v>
      </c>
      <c r="D1699" t="s">
        <v>41</v>
      </c>
      <c r="E1699">
        <v>93.160381000000001</v>
      </c>
      <c r="F1699">
        <v>93.113767999999993</v>
      </c>
      <c r="G1699">
        <v>92.918429000000003</v>
      </c>
      <c r="H1699">
        <v>92.678246000000001</v>
      </c>
      <c r="J1699">
        <f t="shared" si="26"/>
        <v>93.160381000000001</v>
      </c>
    </row>
    <row r="1700" spans="1:10" x14ac:dyDescent="0.25">
      <c r="A1700" t="s">
        <v>242</v>
      </c>
      <c r="B1700" t="s">
        <v>243</v>
      </c>
      <c r="C1700" t="s">
        <v>42</v>
      </c>
      <c r="D1700" t="s">
        <v>43</v>
      </c>
      <c r="J1700">
        <f t="shared" si="26"/>
        <v>0</v>
      </c>
    </row>
    <row r="1701" spans="1:10" x14ac:dyDescent="0.25">
      <c r="A1701" t="s">
        <v>242</v>
      </c>
      <c r="B1701" t="s">
        <v>243</v>
      </c>
      <c r="C1701" t="s">
        <v>44</v>
      </c>
      <c r="D1701" t="s">
        <v>45</v>
      </c>
      <c r="E1701">
        <v>6.5</v>
      </c>
      <c r="J1701">
        <f t="shared" si="26"/>
        <v>6.5</v>
      </c>
    </row>
    <row r="1702" spans="1:10" x14ac:dyDescent="0.25">
      <c r="A1702" t="s">
        <v>244</v>
      </c>
      <c r="B1702" t="s">
        <v>245</v>
      </c>
      <c r="C1702" t="s">
        <v>11</v>
      </c>
      <c r="D1702" t="s">
        <v>12</v>
      </c>
      <c r="J1702">
        <f t="shared" si="26"/>
        <v>0</v>
      </c>
    </row>
    <row r="1703" spans="1:10" x14ac:dyDescent="0.25">
      <c r="A1703" t="s">
        <v>244</v>
      </c>
      <c r="B1703" t="s">
        <v>245</v>
      </c>
      <c r="C1703" t="s">
        <v>14</v>
      </c>
      <c r="D1703" t="s">
        <v>15</v>
      </c>
      <c r="J1703">
        <f t="shared" si="26"/>
        <v>0</v>
      </c>
    </row>
    <row r="1704" spans="1:10" x14ac:dyDescent="0.25">
      <c r="A1704" t="s">
        <v>244</v>
      </c>
      <c r="B1704" t="s">
        <v>245</v>
      </c>
      <c r="C1704" t="s">
        <v>16</v>
      </c>
      <c r="D1704" t="s">
        <v>17</v>
      </c>
      <c r="J1704">
        <f t="shared" si="26"/>
        <v>0</v>
      </c>
    </row>
    <row r="1705" spans="1:10" x14ac:dyDescent="0.25">
      <c r="A1705" t="s">
        <v>244</v>
      </c>
      <c r="B1705" t="s">
        <v>245</v>
      </c>
      <c r="C1705" t="s">
        <v>18</v>
      </c>
      <c r="D1705" t="s">
        <v>19</v>
      </c>
      <c r="J1705">
        <f t="shared" si="26"/>
        <v>0</v>
      </c>
    </row>
    <row r="1706" spans="1:10" x14ac:dyDescent="0.25">
      <c r="A1706" t="s">
        <v>244</v>
      </c>
      <c r="B1706" t="s">
        <v>245</v>
      </c>
      <c r="C1706" t="s">
        <v>20</v>
      </c>
      <c r="D1706" t="s">
        <v>21</v>
      </c>
      <c r="J1706">
        <f t="shared" si="26"/>
        <v>0</v>
      </c>
    </row>
    <row r="1707" spans="1:10" x14ac:dyDescent="0.25">
      <c r="A1707" t="s">
        <v>244</v>
      </c>
      <c r="B1707" t="s">
        <v>245</v>
      </c>
      <c r="C1707" t="s">
        <v>22</v>
      </c>
      <c r="D1707" t="s">
        <v>23</v>
      </c>
      <c r="J1707">
        <f t="shared" si="26"/>
        <v>0</v>
      </c>
    </row>
    <row r="1708" spans="1:10" x14ac:dyDescent="0.25">
      <c r="A1708" t="s">
        <v>244</v>
      </c>
      <c r="B1708" t="s">
        <v>245</v>
      </c>
      <c r="C1708" t="s">
        <v>24</v>
      </c>
      <c r="D1708" t="s">
        <v>25</v>
      </c>
      <c r="J1708">
        <f t="shared" si="26"/>
        <v>0</v>
      </c>
    </row>
    <row r="1709" spans="1:10" x14ac:dyDescent="0.25">
      <c r="A1709" t="s">
        <v>244</v>
      </c>
      <c r="B1709" t="s">
        <v>245</v>
      </c>
      <c r="C1709" t="s">
        <v>26</v>
      </c>
      <c r="D1709" t="s">
        <v>27</v>
      </c>
      <c r="J1709">
        <f t="shared" si="26"/>
        <v>0</v>
      </c>
    </row>
    <row r="1710" spans="1:10" x14ac:dyDescent="0.25">
      <c r="A1710" t="s">
        <v>244</v>
      </c>
      <c r="B1710" t="s">
        <v>245</v>
      </c>
      <c r="C1710" t="s">
        <v>28</v>
      </c>
      <c r="D1710" t="s">
        <v>29</v>
      </c>
      <c r="E1710">
        <v>2</v>
      </c>
      <c r="J1710">
        <f t="shared" si="26"/>
        <v>2</v>
      </c>
    </row>
    <row r="1711" spans="1:10" x14ac:dyDescent="0.25">
      <c r="A1711" t="s">
        <v>244</v>
      </c>
      <c r="B1711" t="s">
        <v>245</v>
      </c>
      <c r="C1711" t="s">
        <v>30</v>
      </c>
      <c r="D1711" t="s">
        <v>31</v>
      </c>
      <c r="J1711">
        <f t="shared" si="26"/>
        <v>0</v>
      </c>
    </row>
    <row r="1712" spans="1:10" x14ac:dyDescent="0.25">
      <c r="A1712" t="s">
        <v>244</v>
      </c>
      <c r="B1712" t="s">
        <v>245</v>
      </c>
      <c r="C1712" t="s">
        <v>32</v>
      </c>
      <c r="D1712" t="s">
        <v>33</v>
      </c>
      <c r="E1712">
        <v>9</v>
      </c>
      <c r="F1712">
        <v>9</v>
      </c>
      <c r="G1712">
        <v>12</v>
      </c>
      <c r="H1712">
        <v>12</v>
      </c>
      <c r="I1712">
        <v>12</v>
      </c>
      <c r="J1712">
        <f t="shared" si="26"/>
        <v>12</v>
      </c>
    </row>
    <row r="1713" spans="1:10" x14ac:dyDescent="0.25">
      <c r="A1713" t="s">
        <v>244</v>
      </c>
      <c r="B1713" t="s">
        <v>245</v>
      </c>
      <c r="C1713" t="s">
        <v>34</v>
      </c>
      <c r="D1713" t="s">
        <v>35</v>
      </c>
      <c r="E1713">
        <v>78.571426391601605</v>
      </c>
      <c r="F1713">
        <v>77.142860412597699</v>
      </c>
      <c r="G1713">
        <v>78.095237731933594</v>
      </c>
      <c r="H1713">
        <v>79.245285034179702</v>
      </c>
      <c r="I1713">
        <v>75</v>
      </c>
      <c r="J1713">
        <f t="shared" si="26"/>
        <v>79.245285034179702</v>
      </c>
    </row>
    <row r="1714" spans="1:10" x14ac:dyDescent="0.25">
      <c r="A1714" t="s">
        <v>244</v>
      </c>
      <c r="B1714" t="s">
        <v>245</v>
      </c>
      <c r="C1714" t="s">
        <v>36</v>
      </c>
      <c r="D1714" t="s">
        <v>37</v>
      </c>
      <c r="J1714">
        <f t="shared" si="26"/>
        <v>0</v>
      </c>
    </row>
    <row r="1715" spans="1:10" x14ac:dyDescent="0.25">
      <c r="A1715" t="s">
        <v>244</v>
      </c>
      <c r="B1715" t="s">
        <v>245</v>
      </c>
      <c r="C1715" t="s">
        <v>38</v>
      </c>
      <c r="D1715" t="s">
        <v>39</v>
      </c>
      <c r="J1715">
        <f t="shared" si="26"/>
        <v>0</v>
      </c>
    </row>
    <row r="1716" spans="1:10" x14ac:dyDescent="0.25">
      <c r="A1716" t="s">
        <v>244</v>
      </c>
      <c r="B1716" t="s">
        <v>245</v>
      </c>
      <c r="C1716" t="s">
        <v>40</v>
      </c>
      <c r="D1716" t="s">
        <v>41</v>
      </c>
      <c r="E1716">
        <v>94.094408000000001</v>
      </c>
      <c r="F1716">
        <v>94.148753999999997</v>
      </c>
      <c r="G1716">
        <v>93.658331000000004</v>
      </c>
      <c r="H1716">
        <v>93.498919000000001</v>
      </c>
      <c r="J1716">
        <f t="shared" si="26"/>
        <v>94.148753999999997</v>
      </c>
    </row>
    <row r="1717" spans="1:10" x14ac:dyDescent="0.25">
      <c r="A1717" t="s">
        <v>244</v>
      </c>
      <c r="B1717" t="s">
        <v>245</v>
      </c>
      <c r="C1717" t="s">
        <v>42</v>
      </c>
      <c r="D1717" t="s">
        <v>43</v>
      </c>
      <c r="J1717">
        <f t="shared" si="26"/>
        <v>0</v>
      </c>
    </row>
    <row r="1718" spans="1:10" x14ac:dyDescent="0.25">
      <c r="A1718" t="s">
        <v>244</v>
      </c>
      <c r="B1718" t="s">
        <v>245</v>
      </c>
      <c r="C1718" t="s">
        <v>44</v>
      </c>
      <c r="D1718" t="s">
        <v>45</v>
      </c>
      <c r="E1718">
        <v>8.6999999999999993</v>
      </c>
      <c r="J1718">
        <f t="shared" si="26"/>
        <v>8.6999999999999993</v>
      </c>
    </row>
    <row r="1719" spans="1:10" x14ac:dyDescent="0.25">
      <c r="A1719" t="s">
        <v>246</v>
      </c>
      <c r="B1719" t="s">
        <v>247</v>
      </c>
      <c r="C1719" t="s">
        <v>11</v>
      </c>
      <c r="D1719" t="s">
        <v>12</v>
      </c>
      <c r="G1719">
        <v>89.72</v>
      </c>
      <c r="J1719">
        <f t="shared" si="26"/>
        <v>89.72</v>
      </c>
    </row>
    <row r="1720" spans="1:10" x14ac:dyDescent="0.25">
      <c r="A1720" t="s">
        <v>246</v>
      </c>
      <c r="B1720" t="s">
        <v>247</v>
      </c>
      <c r="C1720" t="s">
        <v>14</v>
      </c>
      <c r="D1720" t="s">
        <v>15</v>
      </c>
      <c r="G1720">
        <v>90.11</v>
      </c>
      <c r="J1720">
        <f t="shared" si="26"/>
        <v>90.11</v>
      </c>
    </row>
    <row r="1721" spans="1:10" x14ac:dyDescent="0.25">
      <c r="A1721" t="s">
        <v>246</v>
      </c>
      <c r="B1721" t="s">
        <v>247</v>
      </c>
      <c r="C1721" t="s">
        <v>16</v>
      </c>
      <c r="D1721" t="s">
        <v>17</v>
      </c>
      <c r="G1721">
        <v>89.26</v>
      </c>
      <c r="J1721">
        <f t="shared" si="26"/>
        <v>89.26</v>
      </c>
    </row>
    <row r="1722" spans="1:10" x14ac:dyDescent="0.25">
      <c r="A1722" t="s">
        <v>246</v>
      </c>
      <c r="B1722" t="s">
        <v>247</v>
      </c>
      <c r="C1722" t="s">
        <v>18</v>
      </c>
      <c r="D1722" t="s">
        <v>19</v>
      </c>
      <c r="G1722">
        <v>85.81</v>
      </c>
      <c r="J1722">
        <f t="shared" si="26"/>
        <v>85.81</v>
      </c>
    </row>
    <row r="1723" spans="1:10" x14ac:dyDescent="0.25">
      <c r="A1723" t="s">
        <v>246</v>
      </c>
      <c r="B1723" t="s">
        <v>247</v>
      </c>
      <c r="C1723" t="s">
        <v>20</v>
      </c>
      <c r="D1723" t="s">
        <v>21</v>
      </c>
      <c r="G1723">
        <v>93.49</v>
      </c>
      <c r="J1723">
        <f t="shared" si="26"/>
        <v>93.49</v>
      </c>
    </row>
    <row r="1724" spans="1:10" x14ac:dyDescent="0.25">
      <c r="A1724" t="s">
        <v>246</v>
      </c>
      <c r="B1724" t="s">
        <v>247</v>
      </c>
      <c r="C1724" t="s">
        <v>22</v>
      </c>
      <c r="D1724" t="s">
        <v>23</v>
      </c>
      <c r="G1724">
        <v>82.29</v>
      </c>
      <c r="J1724">
        <f t="shared" si="26"/>
        <v>82.29</v>
      </c>
    </row>
    <row r="1725" spans="1:10" x14ac:dyDescent="0.25">
      <c r="A1725" t="s">
        <v>246</v>
      </c>
      <c r="B1725" t="s">
        <v>247</v>
      </c>
      <c r="C1725" t="s">
        <v>24</v>
      </c>
      <c r="D1725" t="s">
        <v>25</v>
      </c>
      <c r="J1725">
        <f t="shared" si="26"/>
        <v>0</v>
      </c>
    </row>
    <row r="1726" spans="1:10" x14ac:dyDescent="0.25">
      <c r="A1726" t="s">
        <v>246</v>
      </c>
      <c r="B1726" t="s">
        <v>247</v>
      </c>
      <c r="C1726" t="s">
        <v>26</v>
      </c>
      <c r="D1726" t="s">
        <v>27</v>
      </c>
      <c r="E1726">
        <v>26.8</v>
      </c>
      <c r="J1726">
        <f t="shared" si="26"/>
        <v>26.8</v>
      </c>
    </row>
    <row r="1727" spans="1:10" x14ac:dyDescent="0.25">
      <c r="A1727" t="s">
        <v>246</v>
      </c>
      <c r="B1727" t="s">
        <v>247</v>
      </c>
      <c r="C1727" t="s">
        <v>28</v>
      </c>
      <c r="D1727" t="s">
        <v>29</v>
      </c>
      <c r="E1727">
        <v>6</v>
      </c>
      <c r="J1727">
        <f t="shared" si="26"/>
        <v>6</v>
      </c>
    </row>
    <row r="1728" spans="1:10" x14ac:dyDescent="0.25">
      <c r="A1728" t="s">
        <v>246</v>
      </c>
      <c r="B1728" t="s">
        <v>247</v>
      </c>
      <c r="C1728" t="s">
        <v>30</v>
      </c>
      <c r="D1728" t="s">
        <v>31</v>
      </c>
      <c r="E1728">
        <v>17.2760484379376</v>
      </c>
      <c r="F1728">
        <v>22.992021036968001</v>
      </c>
      <c r="G1728">
        <v>20.866699219157098</v>
      </c>
      <c r="H1728">
        <v>19.5062376778091</v>
      </c>
      <c r="J1728">
        <f t="shared" si="26"/>
        <v>22.992021036968001</v>
      </c>
    </row>
    <row r="1729" spans="1:10" x14ac:dyDescent="0.25">
      <c r="A1729" t="s">
        <v>246</v>
      </c>
      <c r="B1729" t="s">
        <v>247</v>
      </c>
      <c r="C1729" t="s">
        <v>32</v>
      </c>
      <c r="D1729" t="s">
        <v>33</v>
      </c>
      <c r="E1729">
        <v>11</v>
      </c>
      <c r="F1729">
        <v>11</v>
      </c>
      <c r="G1729">
        <v>11</v>
      </c>
      <c r="H1729">
        <v>11</v>
      </c>
      <c r="I1729">
        <v>11</v>
      </c>
      <c r="J1729">
        <f t="shared" si="26"/>
        <v>11</v>
      </c>
    </row>
    <row r="1730" spans="1:10" x14ac:dyDescent="0.25">
      <c r="A1730" t="s">
        <v>246</v>
      </c>
      <c r="B1730" t="s">
        <v>247</v>
      </c>
      <c r="C1730" t="s">
        <v>34</v>
      </c>
      <c r="D1730" t="s">
        <v>35</v>
      </c>
      <c r="E1730">
        <v>23.809524536132798</v>
      </c>
      <c r="F1730">
        <v>19.0476188659668</v>
      </c>
      <c r="G1730">
        <v>19.523809432983398</v>
      </c>
      <c r="H1730">
        <v>18.396226882934599</v>
      </c>
      <c r="I1730">
        <v>15.566038131713899</v>
      </c>
      <c r="J1730">
        <f t="shared" si="26"/>
        <v>23.809524536132798</v>
      </c>
    </row>
    <row r="1731" spans="1:10" x14ac:dyDescent="0.25">
      <c r="A1731" t="s">
        <v>246</v>
      </c>
      <c r="B1731" t="s">
        <v>247</v>
      </c>
      <c r="C1731" t="s">
        <v>36</v>
      </c>
      <c r="D1731" t="s">
        <v>37</v>
      </c>
      <c r="J1731">
        <f t="shared" ref="J1731:J1794" si="27">MAX(E1731:I1731)</f>
        <v>0</v>
      </c>
    </row>
    <row r="1732" spans="1:10" x14ac:dyDescent="0.25">
      <c r="A1732" t="s">
        <v>246</v>
      </c>
      <c r="B1732" t="s">
        <v>247</v>
      </c>
      <c r="C1732" t="s">
        <v>38</v>
      </c>
      <c r="D1732" t="s">
        <v>39</v>
      </c>
      <c r="J1732">
        <f t="shared" si="27"/>
        <v>0</v>
      </c>
    </row>
    <row r="1733" spans="1:10" x14ac:dyDescent="0.25">
      <c r="A1733" t="s">
        <v>246</v>
      </c>
      <c r="B1733" t="s">
        <v>247</v>
      </c>
      <c r="C1733" t="s">
        <v>40</v>
      </c>
      <c r="D1733" t="s">
        <v>41</v>
      </c>
      <c r="E1733">
        <v>84.132901000000004</v>
      </c>
      <c r="F1733">
        <v>81.599002999999996</v>
      </c>
      <c r="G1733">
        <v>78.993780999999998</v>
      </c>
      <c r="H1733">
        <v>83.916381000000001</v>
      </c>
      <c r="J1733">
        <f t="shared" si="27"/>
        <v>84.132901000000004</v>
      </c>
    </row>
    <row r="1734" spans="1:10" x14ac:dyDescent="0.25">
      <c r="A1734" t="s">
        <v>246</v>
      </c>
      <c r="B1734" t="s">
        <v>247</v>
      </c>
      <c r="C1734" t="s">
        <v>42</v>
      </c>
      <c r="D1734" t="s">
        <v>43</v>
      </c>
      <c r="J1734">
        <f t="shared" si="27"/>
        <v>0</v>
      </c>
    </row>
    <row r="1735" spans="1:10" x14ac:dyDescent="0.25">
      <c r="A1735" t="s">
        <v>246</v>
      </c>
      <c r="B1735" t="s">
        <v>247</v>
      </c>
      <c r="C1735" t="s">
        <v>44</v>
      </c>
      <c r="D1735" t="s">
        <v>45</v>
      </c>
      <c r="E1735">
        <v>10.1</v>
      </c>
      <c r="J1735">
        <f t="shared" si="27"/>
        <v>10.1</v>
      </c>
    </row>
    <row r="1736" spans="1:10" x14ac:dyDescent="0.25">
      <c r="A1736" t="s">
        <v>248</v>
      </c>
      <c r="B1736" t="s">
        <v>249</v>
      </c>
      <c r="C1736" t="s">
        <v>11</v>
      </c>
      <c r="D1736" t="s">
        <v>12</v>
      </c>
      <c r="J1736">
        <f t="shared" si="27"/>
        <v>0</v>
      </c>
    </row>
    <row r="1737" spans="1:10" x14ac:dyDescent="0.25">
      <c r="A1737" t="s">
        <v>248</v>
      </c>
      <c r="B1737" t="s">
        <v>249</v>
      </c>
      <c r="C1737" t="s">
        <v>14</v>
      </c>
      <c r="D1737" t="s">
        <v>15</v>
      </c>
      <c r="J1737">
        <f t="shared" si="27"/>
        <v>0</v>
      </c>
    </row>
    <row r="1738" spans="1:10" x14ac:dyDescent="0.25">
      <c r="A1738" t="s">
        <v>248</v>
      </c>
      <c r="B1738" t="s">
        <v>249</v>
      </c>
      <c r="C1738" t="s">
        <v>16</v>
      </c>
      <c r="D1738" t="s">
        <v>17</v>
      </c>
      <c r="J1738">
        <f t="shared" si="27"/>
        <v>0</v>
      </c>
    </row>
    <row r="1739" spans="1:10" x14ac:dyDescent="0.25">
      <c r="A1739" t="s">
        <v>248</v>
      </c>
      <c r="B1739" t="s">
        <v>249</v>
      </c>
      <c r="C1739" t="s">
        <v>18</v>
      </c>
      <c r="D1739" t="s">
        <v>19</v>
      </c>
      <c r="J1739">
        <f t="shared" si="27"/>
        <v>0</v>
      </c>
    </row>
    <row r="1740" spans="1:10" x14ac:dyDescent="0.25">
      <c r="A1740" t="s">
        <v>248</v>
      </c>
      <c r="B1740" t="s">
        <v>249</v>
      </c>
      <c r="C1740" t="s">
        <v>20</v>
      </c>
      <c r="D1740" t="s">
        <v>21</v>
      </c>
      <c r="J1740">
        <f t="shared" si="27"/>
        <v>0</v>
      </c>
    </row>
    <row r="1741" spans="1:10" x14ac:dyDescent="0.25">
      <c r="A1741" t="s">
        <v>248</v>
      </c>
      <c r="B1741" t="s">
        <v>249</v>
      </c>
      <c r="C1741" t="s">
        <v>22</v>
      </c>
      <c r="D1741" t="s">
        <v>23</v>
      </c>
      <c r="J1741">
        <f t="shared" si="27"/>
        <v>0</v>
      </c>
    </row>
    <row r="1742" spans="1:10" x14ac:dyDescent="0.25">
      <c r="A1742" t="s">
        <v>248</v>
      </c>
      <c r="B1742" t="s">
        <v>249</v>
      </c>
      <c r="C1742" t="s">
        <v>24</v>
      </c>
      <c r="D1742" t="s">
        <v>25</v>
      </c>
      <c r="J1742">
        <f t="shared" si="27"/>
        <v>0</v>
      </c>
    </row>
    <row r="1743" spans="1:10" x14ac:dyDescent="0.25">
      <c r="A1743" t="s">
        <v>248</v>
      </c>
      <c r="B1743" t="s">
        <v>249</v>
      </c>
      <c r="C1743" t="s">
        <v>26</v>
      </c>
      <c r="D1743" t="s">
        <v>27</v>
      </c>
      <c r="E1743">
        <v>4.0999999999999996</v>
      </c>
      <c r="I1743">
        <v>12.3</v>
      </c>
      <c r="J1743">
        <f t="shared" si="27"/>
        <v>12.3</v>
      </c>
    </row>
    <row r="1744" spans="1:10" x14ac:dyDescent="0.25">
      <c r="A1744" t="s">
        <v>248</v>
      </c>
      <c r="B1744" t="s">
        <v>249</v>
      </c>
      <c r="C1744" t="s">
        <v>28</v>
      </c>
      <c r="D1744" t="s">
        <v>29</v>
      </c>
      <c r="E1744">
        <v>8</v>
      </c>
      <c r="J1744">
        <f t="shared" si="27"/>
        <v>8</v>
      </c>
    </row>
    <row r="1745" spans="1:10" x14ac:dyDescent="0.25">
      <c r="A1745" t="s">
        <v>248</v>
      </c>
      <c r="B1745" t="s">
        <v>249</v>
      </c>
      <c r="C1745" t="s">
        <v>30</v>
      </c>
      <c r="D1745" t="s">
        <v>31</v>
      </c>
      <c r="J1745">
        <f t="shared" si="27"/>
        <v>0</v>
      </c>
    </row>
    <row r="1746" spans="1:10" x14ac:dyDescent="0.25">
      <c r="A1746" t="s">
        <v>248</v>
      </c>
      <c r="B1746" t="s">
        <v>249</v>
      </c>
      <c r="C1746" t="s">
        <v>32</v>
      </c>
      <c r="D1746" t="s">
        <v>33</v>
      </c>
      <c r="E1746">
        <v>6</v>
      </c>
      <c r="F1746">
        <v>6</v>
      </c>
      <c r="G1746">
        <v>6</v>
      </c>
      <c r="H1746">
        <v>6</v>
      </c>
      <c r="I1746">
        <v>6</v>
      </c>
      <c r="J1746">
        <f t="shared" si="27"/>
        <v>6</v>
      </c>
    </row>
    <row r="1747" spans="1:10" x14ac:dyDescent="0.25">
      <c r="A1747" t="s">
        <v>248</v>
      </c>
      <c r="B1747" t="s">
        <v>249</v>
      </c>
      <c r="C1747" t="s">
        <v>34</v>
      </c>
      <c r="D1747" t="s">
        <v>35</v>
      </c>
      <c r="E1747">
        <v>67.142860412597699</v>
      </c>
      <c r="F1747">
        <v>67.619049072265597</v>
      </c>
      <c r="G1747">
        <v>70</v>
      </c>
      <c r="H1747">
        <v>70.283020019531193</v>
      </c>
      <c r="I1747">
        <v>73.113204956054702</v>
      </c>
      <c r="J1747">
        <f t="shared" si="27"/>
        <v>73.113204956054702</v>
      </c>
    </row>
    <row r="1748" spans="1:10" x14ac:dyDescent="0.25">
      <c r="A1748" t="s">
        <v>248</v>
      </c>
      <c r="B1748" t="s">
        <v>249</v>
      </c>
      <c r="C1748" t="s">
        <v>36</v>
      </c>
      <c r="D1748" t="s">
        <v>37</v>
      </c>
      <c r="J1748">
        <f t="shared" si="27"/>
        <v>0</v>
      </c>
    </row>
    <row r="1749" spans="1:10" x14ac:dyDescent="0.25">
      <c r="A1749" t="s">
        <v>248</v>
      </c>
      <c r="B1749" t="s">
        <v>249</v>
      </c>
      <c r="C1749" t="s">
        <v>38</v>
      </c>
      <c r="D1749" t="s">
        <v>39</v>
      </c>
      <c r="J1749">
        <f t="shared" si="27"/>
        <v>0</v>
      </c>
    </row>
    <row r="1750" spans="1:10" x14ac:dyDescent="0.25">
      <c r="A1750" t="s">
        <v>248</v>
      </c>
      <c r="B1750" t="s">
        <v>249</v>
      </c>
      <c r="C1750" t="s">
        <v>40</v>
      </c>
      <c r="D1750" t="s">
        <v>41</v>
      </c>
      <c r="E1750">
        <v>70.802439000000007</v>
      </c>
      <c r="F1750">
        <v>71.244026000000005</v>
      </c>
      <c r="G1750">
        <v>70.401983999999999</v>
      </c>
      <c r="H1750">
        <v>72.206030999999996</v>
      </c>
      <c r="J1750">
        <f t="shared" si="27"/>
        <v>72.206030999999996</v>
      </c>
    </row>
    <row r="1751" spans="1:10" x14ac:dyDescent="0.25">
      <c r="A1751" t="s">
        <v>248</v>
      </c>
      <c r="B1751" t="s">
        <v>249</v>
      </c>
      <c r="C1751" t="s">
        <v>42</v>
      </c>
      <c r="D1751" t="s">
        <v>43</v>
      </c>
      <c r="J1751">
        <f t="shared" si="27"/>
        <v>0</v>
      </c>
    </row>
    <row r="1752" spans="1:10" x14ac:dyDescent="0.25">
      <c r="A1752" t="s">
        <v>248</v>
      </c>
      <c r="B1752" t="s">
        <v>249</v>
      </c>
      <c r="C1752" t="s">
        <v>44</v>
      </c>
      <c r="D1752" t="s">
        <v>45</v>
      </c>
      <c r="E1752">
        <v>4</v>
      </c>
      <c r="J1752">
        <f t="shared" si="27"/>
        <v>4</v>
      </c>
    </row>
    <row r="1753" spans="1:10" x14ac:dyDescent="0.25">
      <c r="A1753" t="s">
        <v>250</v>
      </c>
      <c r="B1753" t="s">
        <v>251</v>
      </c>
      <c r="C1753" t="s">
        <v>11</v>
      </c>
      <c r="D1753" t="s">
        <v>12</v>
      </c>
      <c r="G1753">
        <v>69.12</v>
      </c>
      <c r="J1753">
        <f t="shared" si="27"/>
        <v>69.12</v>
      </c>
    </row>
    <row r="1754" spans="1:10" x14ac:dyDescent="0.25">
      <c r="A1754" t="s">
        <v>250</v>
      </c>
      <c r="B1754" t="s">
        <v>251</v>
      </c>
      <c r="C1754" t="s">
        <v>14</v>
      </c>
      <c r="D1754" t="s">
        <v>15</v>
      </c>
      <c r="G1754">
        <v>65.739999999999995</v>
      </c>
      <c r="J1754">
        <f t="shared" si="27"/>
        <v>65.739999999999995</v>
      </c>
    </row>
    <row r="1755" spans="1:10" x14ac:dyDescent="0.25">
      <c r="A1755" t="s">
        <v>250</v>
      </c>
      <c r="B1755" t="s">
        <v>251</v>
      </c>
      <c r="C1755" t="s">
        <v>16</v>
      </c>
      <c r="D1755" t="s">
        <v>17</v>
      </c>
      <c r="G1755">
        <v>72.680000000000007</v>
      </c>
      <c r="J1755">
        <f t="shared" si="27"/>
        <v>72.680000000000007</v>
      </c>
    </row>
    <row r="1756" spans="1:10" x14ac:dyDescent="0.25">
      <c r="A1756" t="s">
        <v>250</v>
      </c>
      <c r="B1756" t="s">
        <v>251</v>
      </c>
      <c r="C1756" t="s">
        <v>18</v>
      </c>
      <c r="D1756" t="s">
        <v>19</v>
      </c>
      <c r="G1756">
        <v>57.12</v>
      </c>
      <c r="J1756">
        <f t="shared" si="27"/>
        <v>57.12</v>
      </c>
    </row>
    <row r="1757" spans="1:10" x14ac:dyDescent="0.25">
      <c r="A1757" t="s">
        <v>250</v>
      </c>
      <c r="B1757" t="s">
        <v>251</v>
      </c>
      <c r="C1757" t="s">
        <v>20</v>
      </c>
      <c r="D1757" t="s">
        <v>21</v>
      </c>
      <c r="G1757">
        <v>71.92</v>
      </c>
      <c r="J1757">
        <f t="shared" si="27"/>
        <v>71.92</v>
      </c>
    </row>
    <row r="1758" spans="1:10" x14ac:dyDescent="0.25">
      <c r="A1758" t="s">
        <v>250</v>
      </c>
      <c r="B1758" t="s">
        <v>251</v>
      </c>
      <c r="C1758" t="s">
        <v>22</v>
      </c>
      <c r="D1758" t="s">
        <v>23</v>
      </c>
      <c r="G1758">
        <v>37.49</v>
      </c>
      <c r="J1758">
        <f t="shared" si="27"/>
        <v>37.49</v>
      </c>
    </row>
    <row r="1759" spans="1:10" x14ac:dyDescent="0.25">
      <c r="A1759" t="s">
        <v>250</v>
      </c>
      <c r="B1759" t="s">
        <v>251</v>
      </c>
      <c r="C1759" t="s">
        <v>24</v>
      </c>
      <c r="D1759" t="s">
        <v>25</v>
      </c>
      <c r="J1759">
        <f t="shared" si="27"/>
        <v>0</v>
      </c>
    </row>
    <row r="1760" spans="1:10" x14ac:dyDescent="0.25">
      <c r="A1760" t="s">
        <v>250</v>
      </c>
      <c r="B1760" t="s">
        <v>251</v>
      </c>
      <c r="C1760" t="s">
        <v>26</v>
      </c>
      <c r="D1760" t="s">
        <v>27</v>
      </c>
      <c r="E1760">
        <v>5.4</v>
      </c>
      <c r="I1760">
        <v>2.7</v>
      </c>
      <c r="J1760">
        <f t="shared" si="27"/>
        <v>5.4</v>
      </c>
    </row>
    <row r="1761" spans="1:10" x14ac:dyDescent="0.25">
      <c r="A1761" t="s">
        <v>250</v>
      </c>
      <c r="B1761" t="s">
        <v>251</v>
      </c>
      <c r="C1761" t="s">
        <v>28</v>
      </c>
      <c r="D1761" t="s">
        <v>29</v>
      </c>
      <c r="E1761">
        <v>9</v>
      </c>
      <c r="J1761">
        <f t="shared" si="27"/>
        <v>9</v>
      </c>
    </row>
    <row r="1762" spans="1:10" x14ac:dyDescent="0.25">
      <c r="A1762" t="s">
        <v>250</v>
      </c>
      <c r="B1762" t="s">
        <v>251</v>
      </c>
      <c r="C1762" t="s">
        <v>30</v>
      </c>
      <c r="D1762" t="s">
        <v>31</v>
      </c>
      <c r="E1762">
        <v>43.248255231679799</v>
      </c>
      <c r="F1762">
        <v>57.143259151253702</v>
      </c>
      <c r="G1762">
        <v>55.763127232687999</v>
      </c>
      <c r="H1762">
        <v>50.884908416999501</v>
      </c>
      <c r="J1762">
        <f t="shared" si="27"/>
        <v>57.143259151253702</v>
      </c>
    </row>
    <row r="1763" spans="1:10" x14ac:dyDescent="0.25">
      <c r="A1763" t="s">
        <v>250</v>
      </c>
      <c r="B1763" t="s">
        <v>251</v>
      </c>
      <c r="C1763" t="s">
        <v>32</v>
      </c>
      <c r="D1763" t="s">
        <v>33</v>
      </c>
      <c r="E1763">
        <v>10</v>
      </c>
      <c r="F1763">
        <v>10</v>
      </c>
      <c r="G1763">
        <v>10</v>
      </c>
      <c r="H1763">
        <v>10</v>
      </c>
      <c r="I1763">
        <v>10</v>
      </c>
      <c r="J1763">
        <f t="shared" si="27"/>
        <v>10</v>
      </c>
    </row>
    <row r="1764" spans="1:10" x14ac:dyDescent="0.25">
      <c r="A1764" t="s">
        <v>250</v>
      </c>
      <c r="B1764" t="s">
        <v>251</v>
      </c>
      <c r="C1764" t="s">
        <v>34</v>
      </c>
      <c r="D1764" t="s">
        <v>35</v>
      </c>
      <c r="E1764">
        <v>47.142856597900398</v>
      </c>
      <c r="F1764">
        <v>51.4285697937012</v>
      </c>
      <c r="G1764">
        <v>51.4285697937012</v>
      </c>
      <c r="H1764">
        <v>55.660377502441399</v>
      </c>
      <c r="I1764">
        <v>56.132076263427699</v>
      </c>
      <c r="J1764">
        <f t="shared" si="27"/>
        <v>56.132076263427699</v>
      </c>
    </row>
    <row r="1765" spans="1:10" x14ac:dyDescent="0.25">
      <c r="A1765" t="s">
        <v>250</v>
      </c>
      <c r="B1765" t="s">
        <v>251</v>
      </c>
      <c r="C1765" t="s">
        <v>36</v>
      </c>
      <c r="D1765" t="s">
        <v>37</v>
      </c>
      <c r="J1765">
        <f t="shared" si="27"/>
        <v>0</v>
      </c>
    </row>
    <row r="1766" spans="1:10" x14ac:dyDescent="0.25">
      <c r="A1766" t="s">
        <v>250</v>
      </c>
      <c r="B1766" t="s">
        <v>251</v>
      </c>
      <c r="C1766" t="s">
        <v>38</v>
      </c>
      <c r="D1766" t="s">
        <v>39</v>
      </c>
      <c r="J1766">
        <f t="shared" si="27"/>
        <v>0</v>
      </c>
    </row>
    <row r="1767" spans="1:10" x14ac:dyDescent="0.25">
      <c r="A1767" t="s">
        <v>250</v>
      </c>
      <c r="B1767" t="s">
        <v>251</v>
      </c>
      <c r="C1767" t="s">
        <v>40</v>
      </c>
      <c r="D1767" t="s">
        <v>41</v>
      </c>
      <c r="E1767">
        <v>87.235363000000007</v>
      </c>
      <c r="F1767">
        <v>85.819806999999997</v>
      </c>
      <c r="G1767">
        <v>83.691599999999994</v>
      </c>
      <c r="H1767">
        <v>87.077433999999997</v>
      </c>
      <c r="J1767">
        <f t="shared" si="27"/>
        <v>87.235363000000007</v>
      </c>
    </row>
    <row r="1768" spans="1:10" x14ac:dyDescent="0.25">
      <c r="A1768" t="s">
        <v>250</v>
      </c>
      <c r="B1768" t="s">
        <v>251</v>
      </c>
      <c r="C1768" t="s">
        <v>42</v>
      </c>
      <c r="D1768" t="s">
        <v>43</v>
      </c>
      <c r="J1768">
        <f t="shared" si="27"/>
        <v>0</v>
      </c>
    </row>
    <row r="1769" spans="1:10" x14ac:dyDescent="0.25">
      <c r="A1769" t="s">
        <v>250</v>
      </c>
      <c r="B1769" t="s">
        <v>251</v>
      </c>
      <c r="C1769" t="s">
        <v>44</v>
      </c>
      <c r="D1769" t="s">
        <v>45</v>
      </c>
      <c r="E1769">
        <v>20</v>
      </c>
      <c r="J1769">
        <f t="shared" si="27"/>
        <v>20</v>
      </c>
    </row>
    <row r="1770" spans="1:10" x14ac:dyDescent="0.25">
      <c r="A1770" t="s">
        <v>252</v>
      </c>
      <c r="B1770" t="s">
        <v>253</v>
      </c>
      <c r="C1770" t="s">
        <v>11</v>
      </c>
      <c r="D1770" t="s">
        <v>12</v>
      </c>
      <c r="G1770">
        <v>74.319999999999993</v>
      </c>
      <c r="J1770">
        <f t="shared" si="27"/>
        <v>74.319999999999993</v>
      </c>
    </row>
    <row r="1771" spans="1:10" x14ac:dyDescent="0.25">
      <c r="A1771" t="s">
        <v>252</v>
      </c>
      <c r="B1771" t="s">
        <v>253</v>
      </c>
      <c r="C1771" t="s">
        <v>14</v>
      </c>
      <c r="D1771" t="s">
        <v>15</v>
      </c>
      <c r="G1771">
        <v>63.49</v>
      </c>
      <c r="J1771">
        <f t="shared" si="27"/>
        <v>63.49</v>
      </c>
    </row>
    <row r="1772" spans="1:10" x14ac:dyDescent="0.25">
      <c r="A1772" t="s">
        <v>252</v>
      </c>
      <c r="B1772" t="s">
        <v>253</v>
      </c>
      <c r="C1772" t="s">
        <v>16</v>
      </c>
      <c r="D1772" t="s">
        <v>17</v>
      </c>
      <c r="G1772">
        <v>81.67</v>
      </c>
      <c r="J1772">
        <f t="shared" si="27"/>
        <v>81.67</v>
      </c>
    </row>
    <row r="1773" spans="1:10" x14ac:dyDescent="0.25">
      <c r="A1773" t="s">
        <v>252</v>
      </c>
      <c r="B1773" t="s">
        <v>253</v>
      </c>
      <c r="C1773" t="s">
        <v>18</v>
      </c>
      <c r="D1773" t="s">
        <v>19</v>
      </c>
      <c r="G1773">
        <v>66.61</v>
      </c>
      <c r="J1773">
        <f t="shared" si="27"/>
        <v>66.61</v>
      </c>
    </row>
    <row r="1774" spans="1:10" x14ac:dyDescent="0.25">
      <c r="A1774" t="s">
        <v>252</v>
      </c>
      <c r="B1774" t="s">
        <v>253</v>
      </c>
      <c r="C1774" t="s">
        <v>20</v>
      </c>
      <c r="D1774" t="s">
        <v>21</v>
      </c>
      <c r="G1774">
        <v>70.52</v>
      </c>
      <c r="J1774">
        <f t="shared" si="27"/>
        <v>70.52</v>
      </c>
    </row>
    <row r="1775" spans="1:10" x14ac:dyDescent="0.25">
      <c r="A1775" t="s">
        <v>252</v>
      </c>
      <c r="B1775" t="s">
        <v>253</v>
      </c>
      <c r="C1775" t="s">
        <v>22</v>
      </c>
      <c r="D1775" t="s">
        <v>23</v>
      </c>
      <c r="G1775">
        <v>76.8</v>
      </c>
      <c r="J1775">
        <f t="shared" si="27"/>
        <v>76.8</v>
      </c>
    </row>
    <row r="1776" spans="1:10" x14ac:dyDescent="0.25">
      <c r="A1776" t="s">
        <v>252</v>
      </c>
      <c r="B1776" t="s">
        <v>253</v>
      </c>
      <c r="C1776" t="s">
        <v>24</v>
      </c>
      <c r="D1776" t="s">
        <v>25</v>
      </c>
      <c r="J1776">
        <f t="shared" si="27"/>
        <v>0</v>
      </c>
    </row>
    <row r="1777" spans="1:10" x14ac:dyDescent="0.25">
      <c r="A1777" t="s">
        <v>252</v>
      </c>
      <c r="B1777" t="s">
        <v>253</v>
      </c>
      <c r="C1777" t="s">
        <v>26</v>
      </c>
      <c r="D1777" t="s">
        <v>27</v>
      </c>
      <c r="H1777">
        <v>4.5</v>
      </c>
      <c r="J1777">
        <f t="shared" si="27"/>
        <v>4.5</v>
      </c>
    </row>
    <row r="1778" spans="1:10" x14ac:dyDescent="0.25">
      <c r="A1778" t="s">
        <v>252</v>
      </c>
      <c r="B1778" t="s">
        <v>253</v>
      </c>
      <c r="C1778" t="s">
        <v>28</v>
      </c>
      <c r="D1778" t="s">
        <v>29</v>
      </c>
      <c r="E1778">
        <v>9</v>
      </c>
      <c r="J1778">
        <f t="shared" si="27"/>
        <v>9</v>
      </c>
    </row>
    <row r="1779" spans="1:10" x14ac:dyDescent="0.25">
      <c r="A1779" t="s">
        <v>252</v>
      </c>
      <c r="B1779" t="s">
        <v>253</v>
      </c>
      <c r="C1779" t="s">
        <v>30</v>
      </c>
      <c r="D1779" t="s">
        <v>31</v>
      </c>
      <c r="J1779">
        <f t="shared" si="27"/>
        <v>0</v>
      </c>
    </row>
    <row r="1780" spans="1:10" x14ac:dyDescent="0.25">
      <c r="A1780" t="s">
        <v>252</v>
      </c>
      <c r="B1780" t="s">
        <v>253</v>
      </c>
      <c r="C1780" t="s">
        <v>32</v>
      </c>
      <c r="D1780" t="s">
        <v>33</v>
      </c>
      <c r="E1780">
        <v>9</v>
      </c>
      <c r="F1780">
        <v>9</v>
      </c>
      <c r="G1780">
        <v>9</v>
      </c>
      <c r="H1780">
        <v>9</v>
      </c>
      <c r="I1780">
        <v>9</v>
      </c>
      <c r="J1780">
        <f t="shared" si="27"/>
        <v>9</v>
      </c>
    </row>
    <row r="1781" spans="1:10" x14ac:dyDescent="0.25">
      <c r="A1781" t="s">
        <v>252</v>
      </c>
      <c r="B1781" t="s">
        <v>253</v>
      </c>
      <c r="C1781" t="s">
        <v>34</v>
      </c>
      <c r="D1781" t="s">
        <v>35</v>
      </c>
      <c r="E1781">
        <v>62.380950927734403</v>
      </c>
      <c r="F1781">
        <v>61.4285697937012</v>
      </c>
      <c r="G1781">
        <v>62.380950927734403</v>
      </c>
      <c r="H1781">
        <v>63.679244995117202</v>
      </c>
      <c r="I1781">
        <v>66.509437561035199</v>
      </c>
      <c r="J1781">
        <f t="shared" si="27"/>
        <v>66.509437561035199</v>
      </c>
    </row>
    <row r="1782" spans="1:10" x14ac:dyDescent="0.25">
      <c r="A1782" t="s">
        <v>252</v>
      </c>
      <c r="B1782" t="s">
        <v>253</v>
      </c>
      <c r="C1782" t="s">
        <v>36</v>
      </c>
      <c r="D1782" t="s">
        <v>37</v>
      </c>
      <c r="J1782">
        <f t="shared" si="27"/>
        <v>0</v>
      </c>
    </row>
    <row r="1783" spans="1:10" x14ac:dyDescent="0.25">
      <c r="A1783" t="s">
        <v>252</v>
      </c>
      <c r="B1783" t="s">
        <v>253</v>
      </c>
      <c r="C1783" t="s">
        <v>38</v>
      </c>
      <c r="D1783" t="s">
        <v>39</v>
      </c>
      <c r="J1783">
        <f t="shared" si="27"/>
        <v>0</v>
      </c>
    </row>
    <row r="1784" spans="1:10" x14ac:dyDescent="0.25">
      <c r="A1784" t="s">
        <v>252</v>
      </c>
      <c r="B1784" t="s">
        <v>253</v>
      </c>
      <c r="C1784" t="s">
        <v>40</v>
      </c>
      <c r="D1784" t="s">
        <v>41</v>
      </c>
      <c r="E1784">
        <v>89.306848000000002</v>
      </c>
      <c r="F1784">
        <v>89.104877999999999</v>
      </c>
      <c r="G1784">
        <v>89.046610999999999</v>
      </c>
      <c r="H1784">
        <v>89.393818999999993</v>
      </c>
      <c r="J1784">
        <f t="shared" si="27"/>
        <v>89.393818999999993</v>
      </c>
    </row>
    <row r="1785" spans="1:10" x14ac:dyDescent="0.25">
      <c r="A1785" t="s">
        <v>252</v>
      </c>
      <c r="B1785" t="s">
        <v>253</v>
      </c>
      <c r="C1785" t="s">
        <v>42</v>
      </c>
      <c r="D1785" t="s">
        <v>43</v>
      </c>
      <c r="J1785">
        <f t="shared" si="27"/>
        <v>0</v>
      </c>
    </row>
    <row r="1786" spans="1:10" x14ac:dyDescent="0.25">
      <c r="A1786" t="s">
        <v>252</v>
      </c>
      <c r="B1786" t="s">
        <v>253</v>
      </c>
      <c r="C1786" t="s">
        <v>44</v>
      </c>
      <c r="D1786" t="s">
        <v>45</v>
      </c>
      <c r="E1786">
        <v>10.4</v>
      </c>
      <c r="J1786">
        <f t="shared" si="27"/>
        <v>10.4</v>
      </c>
    </row>
    <row r="1787" spans="1:10" x14ac:dyDescent="0.25">
      <c r="A1787" t="s">
        <v>254</v>
      </c>
      <c r="B1787" t="s">
        <v>255</v>
      </c>
      <c r="C1787" t="s">
        <v>11</v>
      </c>
      <c r="D1787" t="s">
        <v>12</v>
      </c>
      <c r="G1787">
        <v>89.42</v>
      </c>
      <c r="J1787">
        <f t="shared" si="27"/>
        <v>89.42</v>
      </c>
    </row>
    <row r="1788" spans="1:10" x14ac:dyDescent="0.25">
      <c r="A1788" t="s">
        <v>254</v>
      </c>
      <c r="B1788" t="s">
        <v>255</v>
      </c>
      <c r="C1788" t="s">
        <v>14</v>
      </c>
      <c r="D1788" t="s">
        <v>15</v>
      </c>
      <c r="G1788">
        <v>89.83</v>
      </c>
      <c r="J1788">
        <f t="shared" si="27"/>
        <v>89.83</v>
      </c>
    </row>
    <row r="1789" spans="1:10" x14ac:dyDescent="0.25">
      <c r="A1789" t="s">
        <v>254</v>
      </c>
      <c r="B1789" t="s">
        <v>255</v>
      </c>
      <c r="C1789" t="s">
        <v>16</v>
      </c>
      <c r="D1789" t="s">
        <v>17</v>
      </c>
      <c r="G1789">
        <v>88.99</v>
      </c>
      <c r="J1789">
        <f t="shared" si="27"/>
        <v>88.99</v>
      </c>
    </row>
    <row r="1790" spans="1:10" x14ac:dyDescent="0.25">
      <c r="A1790" t="s">
        <v>254</v>
      </c>
      <c r="B1790" t="s">
        <v>255</v>
      </c>
      <c r="C1790" t="s">
        <v>18</v>
      </c>
      <c r="D1790" t="s">
        <v>19</v>
      </c>
      <c r="G1790">
        <v>84.28</v>
      </c>
      <c r="J1790">
        <f t="shared" si="27"/>
        <v>84.28</v>
      </c>
    </row>
    <row r="1791" spans="1:10" x14ac:dyDescent="0.25">
      <c r="A1791" t="s">
        <v>254</v>
      </c>
      <c r="B1791" t="s">
        <v>255</v>
      </c>
      <c r="C1791" t="s">
        <v>20</v>
      </c>
      <c r="D1791" t="s">
        <v>21</v>
      </c>
      <c r="G1791">
        <v>69.400000000000006</v>
      </c>
      <c r="J1791">
        <f t="shared" si="27"/>
        <v>69.400000000000006</v>
      </c>
    </row>
    <row r="1792" spans="1:10" x14ac:dyDescent="0.25">
      <c r="A1792" t="s">
        <v>254</v>
      </c>
      <c r="B1792" t="s">
        <v>255</v>
      </c>
      <c r="C1792" t="s">
        <v>22</v>
      </c>
      <c r="D1792" t="s">
        <v>23</v>
      </c>
      <c r="G1792">
        <v>80.42</v>
      </c>
      <c r="J1792">
        <f t="shared" si="27"/>
        <v>80.42</v>
      </c>
    </row>
    <row r="1793" spans="1:10" x14ac:dyDescent="0.25">
      <c r="A1793" t="s">
        <v>254</v>
      </c>
      <c r="B1793" t="s">
        <v>255</v>
      </c>
      <c r="C1793" t="s">
        <v>24</v>
      </c>
      <c r="D1793" t="s">
        <v>25</v>
      </c>
      <c r="J1793">
        <f t="shared" si="27"/>
        <v>0</v>
      </c>
    </row>
    <row r="1794" spans="1:10" x14ac:dyDescent="0.25">
      <c r="A1794" t="s">
        <v>254</v>
      </c>
      <c r="B1794" t="s">
        <v>255</v>
      </c>
      <c r="C1794" t="s">
        <v>26</v>
      </c>
      <c r="D1794" t="s">
        <v>27</v>
      </c>
      <c r="E1794">
        <v>6.9</v>
      </c>
      <c r="J1794">
        <f t="shared" si="27"/>
        <v>6.9</v>
      </c>
    </row>
    <row r="1795" spans="1:10" x14ac:dyDescent="0.25">
      <c r="A1795" t="s">
        <v>254</v>
      </c>
      <c r="B1795" t="s">
        <v>255</v>
      </c>
      <c r="C1795" t="s">
        <v>28</v>
      </c>
      <c r="D1795" t="s">
        <v>29</v>
      </c>
      <c r="E1795">
        <v>6</v>
      </c>
      <c r="J1795">
        <f t="shared" ref="J1795:J1858" si="28">MAX(E1795:I1795)</f>
        <v>6</v>
      </c>
    </row>
    <row r="1796" spans="1:10" x14ac:dyDescent="0.25">
      <c r="A1796" t="s">
        <v>254</v>
      </c>
      <c r="B1796" t="s">
        <v>255</v>
      </c>
      <c r="C1796" t="s">
        <v>30</v>
      </c>
      <c r="D1796" t="s">
        <v>31</v>
      </c>
      <c r="J1796">
        <f t="shared" si="28"/>
        <v>0</v>
      </c>
    </row>
    <row r="1797" spans="1:10" x14ac:dyDescent="0.25">
      <c r="A1797" t="s">
        <v>254</v>
      </c>
      <c r="B1797" t="s">
        <v>255</v>
      </c>
      <c r="C1797" t="s">
        <v>32</v>
      </c>
      <c r="D1797" t="s">
        <v>33</v>
      </c>
      <c r="E1797">
        <v>8</v>
      </c>
      <c r="F1797">
        <v>8</v>
      </c>
      <c r="G1797">
        <v>8</v>
      </c>
      <c r="H1797">
        <v>8</v>
      </c>
      <c r="I1797">
        <v>8</v>
      </c>
      <c r="J1797">
        <f t="shared" si="28"/>
        <v>8</v>
      </c>
    </row>
    <row r="1798" spans="1:10" x14ac:dyDescent="0.25">
      <c r="A1798" t="s">
        <v>254</v>
      </c>
      <c r="B1798" t="s">
        <v>255</v>
      </c>
      <c r="C1798" t="s">
        <v>34</v>
      </c>
      <c r="D1798" t="s">
        <v>35</v>
      </c>
      <c r="E1798">
        <v>37.619049072265597</v>
      </c>
      <c r="F1798">
        <v>37.142856597900398</v>
      </c>
      <c r="G1798">
        <v>35.714286804199197</v>
      </c>
      <c r="H1798">
        <v>35.377357482910199</v>
      </c>
      <c r="I1798">
        <v>38.207546234130902</v>
      </c>
      <c r="J1798">
        <f t="shared" si="28"/>
        <v>38.207546234130902</v>
      </c>
    </row>
    <row r="1799" spans="1:10" x14ac:dyDescent="0.25">
      <c r="A1799" t="s">
        <v>254</v>
      </c>
      <c r="B1799" t="s">
        <v>255</v>
      </c>
      <c r="C1799" t="s">
        <v>36</v>
      </c>
      <c r="D1799" t="s">
        <v>37</v>
      </c>
      <c r="J1799">
        <f t="shared" si="28"/>
        <v>0</v>
      </c>
    </row>
    <row r="1800" spans="1:10" x14ac:dyDescent="0.25">
      <c r="A1800" t="s">
        <v>254</v>
      </c>
      <c r="B1800" t="s">
        <v>255</v>
      </c>
      <c r="C1800" t="s">
        <v>38</v>
      </c>
      <c r="D1800" t="s">
        <v>39</v>
      </c>
      <c r="J1800">
        <f t="shared" si="28"/>
        <v>0</v>
      </c>
    </row>
    <row r="1801" spans="1:10" x14ac:dyDescent="0.25">
      <c r="A1801" t="s">
        <v>254</v>
      </c>
      <c r="B1801" t="s">
        <v>255</v>
      </c>
      <c r="C1801" t="s">
        <v>40</v>
      </c>
      <c r="D1801" t="s">
        <v>41</v>
      </c>
      <c r="E1801">
        <v>87.597977999999998</v>
      </c>
      <c r="F1801">
        <v>85.858215999999999</v>
      </c>
      <c r="G1801">
        <v>83.837327000000002</v>
      </c>
      <c r="H1801">
        <v>87.675888999999998</v>
      </c>
      <c r="J1801">
        <f t="shared" si="28"/>
        <v>87.675888999999998</v>
      </c>
    </row>
    <row r="1802" spans="1:10" x14ac:dyDescent="0.25">
      <c r="A1802" t="s">
        <v>254</v>
      </c>
      <c r="B1802" t="s">
        <v>255</v>
      </c>
      <c r="C1802" t="s">
        <v>42</v>
      </c>
      <c r="D1802" t="s">
        <v>43</v>
      </c>
      <c r="J1802">
        <f t="shared" si="28"/>
        <v>0</v>
      </c>
    </row>
    <row r="1803" spans="1:10" x14ac:dyDescent="0.25">
      <c r="A1803" t="s">
        <v>254</v>
      </c>
      <c r="B1803" t="s">
        <v>255</v>
      </c>
      <c r="C1803" t="s">
        <v>44</v>
      </c>
      <c r="D1803" t="s">
        <v>45</v>
      </c>
      <c r="E1803">
        <v>7</v>
      </c>
      <c r="J1803">
        <f t="shared" si="28"/>
        <v>7</v>
      </c>
    </row>
    <row r="1804" spans="1:10" x14ac:dyDescent="0.25">
      <c r="A1804" t="s">
        <v>256</v>
      </c>
      <c r="B1804" t="s">
        <v>257</v>
      </c>
      <c r="C1804" t="s">
        <v>11</v>
      </c>
      <c r="D1804" t="s">
        <v>12</v>
      </c>
      <c r="G1804">
        <v>97.55</v>
      </c>
      <c r="J1804">
        <f t="shared" si="28"/>
        <v>97.55</v>
      </c>
    </row>
    <row r="1805" spans="1:10" x14ac:dyDescent="0.25">
      <c r="A1805" t="s">
        <v>256</v>
      </c>
      <c r="B1805" t="s">
        <v>257</v>
      </c>
      <c r="C1805" t="s">
        <v>14</v>
      </c>
      <c r="D1805" t="s">
        <v>15</v>
      </c>
      <c r="G1805">
        <v>96.87</v>
      </c>
      <c r="J1805">
        <f t="shared" si="28"/>
        <v>96.87</v>
      </c>
    </row>
    <row r="1806" spans="1:10" x14ac:dyDescent="0.25">
      <c r="A1806" t="s">
        <v>256</v>
      </c>
      <c r="B1806" t="s">
        <v>257</v>
      </c>
      <c r="C1806" t="s">
        <v>16</v>
      </c>
      <c r="D1806" t="s">
        <v>17</v>
      </c>
      <c r="G1806">
        <v>98.27</v>
      </c>
      <c r="J1806">
        <f t="shared" si="28"/>
        <v>98.27</v>
      </c>
    </row>
    <row r="1807" spans="1:10" x14ac:dyDescent="0.25">
      <c r="A1807" t="s">
        <v>256</v>
      </c>
      <c r="B1807" t="s">
        <v>257</v>
      </c>
      <c r="C1807" t="s">
        <v>18</v>
      </c>
      <c r="D1807" t="s">
        <v>19</v>
      </c>
      <c r="G1807">
        <v>95.55</v>
      </c>
      <c r="J1807">
        <f t="shared" si="28"/>
        <v>95.55</v>
      </c>
    </row>
    <row r="1808" spans="1:10" x14ac:dyDescent="0.25">
      <c r="A1808" t="s">
        <v>256</v>
      </c>
      <c r="B1808" t="s">
        <v>257</v>
      </c>
      <c r="C1808" t="s">
        <v>20</v>
      </c>
      <c r="D1808" t="s">
        <v>21</v>
      </c>
      <c r="G1808">
        <v>94.36</v>
      </c>
      <c r="J1808">
        <f t="shared" si="28"/>
        <v>94.36</v>
      </c>
    </row>
    <row r="1809" spans="1:10" x14ac:dyDescent="0.25">
      <c r="A1809" t="s">
        <v>256</v>
      </c>
      <c r="B1809" t="s">
        <v>257</v>
      </c>
      <c r="C1809" t="s">
        <v>22</v>
      </c>
      <c r="D1809" t="s">
        <v>23</v>
      </c>
      <c r="G1809">
        <v>92.44</v>
      </c>
      <c r="J1809">
        <f t="shared" si="28"/>
        <v>92.44</v>
      </c>
    </row>
    <row r="1810" spans="1:10" x14ac:dyDescent="0.25">
      <c r="A1810" t="s">
        <v>256</v>
      </c>
      <c r="B1810" t="s">
        <v>257</v>
      </c>
      <c r="C1810" t="s">
        <v>24</v>
      </c>
      <c r="D1810" t="s">
        <v>25</v>
      </c>
      <c r="J1810">
        <f t="shared" si="28"/>
        <v>0</v>
      </c>
    </row>
    <row r="1811" spans="1:10" x14ac:dyDescent="0.25">
      <c r="A1811" t="s">
        <v>256</v>
      </c>
      <c r="B1811" t="s">
        <v>257</v>
      </c>
      <c r="C1811" t="s">
        <v>26</v>
      </c>
      <c r="D1811" t="s">
        <v>27</v>
      </c>
      <c r="I1811">
        <v>0.6</v>
      </c>
      <c r="J1811">
        <f t="shared" si="28"/>
        <v>0.6</v>
      </c>
    </row>
    <row r="1812" spans="1:10" x14ac:dyDescent="0.25">
      <c r="A1812" t="s">
        <v>256</v>
      </c>
      <c r="B1812" t="s">
        <v>257</v>
      </c>
      <c r="C1812" t="s">
        <v>28</v>
      </c>
      <c r="D1812" t="s">
        <v>29</v>
      </c>
      <c r="E1812">
        <v>10</v>
      </c>
      <c r="J1812">
        <f t="shared" si="28"/>
        <v>10</v>
      </c>
    </row>
    <row r="1813" spans="1:10" x14ac:dyDescent="0.25">
      <c r="A1813" t="s">
        <v>256</v>
      </c>
      <c r="B1813" t="s">
        <v>257</v>
      </c>
      <c r="C1813" t="s">
        <v>30</v>
      </c>
      <c r="D1813" t="s">
        <v>31</v>
      </c>
      <c r="E1813">
        <v>127.826745717478</v>
      </c>
      <c r="F1813">
        <v>151.56632474280801</v>
      </c>
      <c r="G1813">
        <v>150.14191284055201</v>
      </c>
      <c r="J1813">
        <f t="shared" si="28"/>
        <v>151.56632474280801</v>
      </c>
    </row>
    <row r="1814" spans="1:10" x14ac:dyDescent="0.25">
      <c r="A1814" t="s">
        <v>256</v>
      </c>
      <c r="B1814" t="s">
        <v>257</v>
      </c>
      <c r="C1814" t="s">
        <v>32</v>
      </c>
      <c r="D1814" t="s">
        <v>33</v>
      </c>
      <c r="E1814">
        <v>6</v>
      </c>
      <c r="F1814">
        <v>6</v>
      </c>
      <c r="G1814">
        <v>6</v>
      </c>
      <c r="H1814">
        <v>6</v>
      </c>
      <c r="I1814">
        <v>6</v>
      </c>
      <c r="J1814">
        <f t="shared" si="28"/>
        <v>6</v>
      </c>
    </row>
    <row r="1815" spans="1:10" x14ac:dyDescent="0.25">
      <c r="A1815" t="s">
        <v>256</v>
      </c>
      <c r="B1815" t="s">
        <v>257</v>
      </c>
      <c r="C1815" t="s">
        <v>34</v>
      </c>
      <c r="D1815" t="s">
        <v>35</v>
      </c>
      <c r="E1815">
        <v>99.047622680664105</v>
      </c>
      <c r="F1815">
        <v>99.047622680664105</v>
      </c>
      <c r="G1815">
        <v>98.571426391601605</v>
      </c>
      <c r="H1815">
        <v>98.584907531738295</v>
      </c>
      <c r="I1815">
        <v>98.113204956054702</v>
      </c>
      <c r="J1815">
        <f t="shared" si="28"/>
        <v>99.047622680664105</v>
      </c>
    </row>
    <row r="1816" spans="1:10" x14ac:dyDescent="0.25">
      <c r="A1816" t="s">
        <v>256</v>
      </c>
      <c r="B1816" t="s">
        <v>257</v>
      </c>
      <c r="C1816" t="s">
        <v>36</v>
      </c>
      <c r="D1816" t="s">
        <v>37</v>
      </c>
      <c r="J1816">
        <f t="shared" si="28"/>
        <v>0</v>
      </c>
    </row>
    <row r="1817" spans="1:10" x14ac:dyDescent="0.25">
      <c r="A1817" t="s">
        <v>256</v>
      </c>
      <c r="B1817" t="s">
        <v>257</v>
      </c>
      <c r="C1817" t="s">
        <v>38</v>
      </c>
      <c r="D1817" t="s">
        <v>39</v>
      </c>
      <c r="J1817">
        <f t="shared" si="28"/>
        <v>0</v>
      </c>
    </row>
    <row r="1818" spans="1:10" x14ac:dyDescent="0.25">
      <c r="A1818" t="s">
        <v>256</v>
      </c>
      <c r="B1818" t="s">
        <v>257</v>
      </c>
      <c r="C1818" t="s">
        <v>40</v>
      </c>
      <c r="D1818" t="s">
        <v>41</v>
      </c>
      <c r="E1818">
        <v>94.189503999999999</v>
      </c>
      <c r="F1818">
        <v>94.291038999999998</v>
      </c>
      <c r="G1818">
        <v>93.735613999999998</v>
      </c>
      <c r="H1818">
        <v>92.930960999999996</v>
      </c>
      <c r="J1818">
        <f t="shared" si="28"/>
        <v>94.291038999999998</v>
      </c>
    </row>
    <row r="1819" spans="1:10" x14ac:dyDescent="0.25">
      <c r="A1819" t="s">
        <v>256</v>
      </c>
      <c r="B1819" t="s">
        <v>257</v>
      </c>
      <c r="C1819" t="s">
        <v>42</v>
      </c>
      <c r="D1819" t="s">
        <v>43</v>
      </c>
      <c r="J1819">
        <f t="shared" si="28"/>
        <v>0</v>
      </c>
    </row>
    <row r="1820" spans="1:10" x14ac:dyDescent="0.25">
      <c r="A1820" t="s">
        <v>256</v>
      </c>
      <c r="B1820" t="s">
        <v>257</v>
      </c>
      <c r="C1820" t="s">
        <v>44</v>
      </c>
      <c r="D1820" t="s">
        <v>45</v>
      </c>
      <c r="E1820">
        <v>1.5</v>
      </c>
      <c r="J1820">
        <f t="shared" si="28"/>
        <v>1.5</v>
      </c>
    </row>
    <row r="1821" spans="1:10" x14ac:dyDescent="0.25">
      <c r="A1821" t="s">
        <v>258</v>
      </c>
      <c r="B1821" t="s">
        <v>259</v>
      </c>
      <c r="C1821" t="s">
        <v>11</v>
      </c>
      <c r="D1821" t="s">
        <v>12</v>
      </c>
      <c r="G1821">
        <v>95.62</v>
      </c>
      <c r="J1821">
        <f t="shared" si="28"/>
        <v>95.62</v>
      </c>
    </row>
    <row r="1822" spans="1:10" x14ac:dyDescent="0.25">
      <c r="A1822" t="s">
        <v>258</v>
      </c>
      <c r="B1822" t="s">
        <v>259</v>
      </c>
      <c r="C1822" t="s">
        <v>14</v>
      </c>
      <c r="D1822" t="s">
        <v>15</v>
      </c>
      <c r="G1822">
        <v>94.01</v>
      </c>
      <c r="J1822">
        <f t="shared" si="28"/>
        <v>94.01</v>
      </c>
    </row>
    <row r="1823" spans="1:10" x14ac:dyDescent="0.25">
      <c r="A1823" t="s">
        <v>258</v>
      </c>
      <c r="B1823" t="s">
        <v>259</v>
      </c>
      <c r="C1823" t="s">
        <v>16</v>
      </c>
      <c r="D1823" t="s">
        <v>17</v>
      </c>
      <c r="G1823">
        <v>97.36</v>
      </c>
      <c r="J1823">
        <f t="shared" si="28"/>
        <v>97.36</v>
      </c>
    </row>
    <row r="1824" spans="1:10" x14ac:dyDescent="0.25">
      <c r="A1824" t="s">
        <v>258</v>
      </c>
      <c r="B1824" t="s">
        <v>259</v>
      </c>
      <c r="C1824" t="s">
        <v>18</v>
      </c>
      <c r="D1824" t="s">
        <v>19</v>
      </c>
      <c r="G1824">
        <v>90.83</v>
      </c>
      <c r="J1824">
        <f t="shared" si="28"/>
        <v>90.83</v>
      </c>
    </row>
    <row r="1825" spans="1:10" x14ac:dyDescent="0.25">
      <c r="A1825" t="s">
        <v>258</v>
      </c>
      <c r="B1825" t="s">
        <v>259</v>
      </c>
      <c r="C1825" t="s">
        <v>20</v>
      </c>
      <c r="D1825" t="s">
        <v>21</v>
      </c>
      <c r="G1825">
        <v>96.05</v>
      </c>
      <c r="J1825">
        <f t="shared" si="28"/>
        <v>96.05</v>
      </c>
    </row>
    <row r="1826" spans="1:10" x14ac:dyDescent="0.25">
      <c r="A1826" t="s">
        <v>258</v>
      </c>
      <c r="B1826" t="s">
        <v>259</v>
      </c>
      <c r="C1826" t="s">
        <v>22</v>
      </c>
      <c r="D1826" t="s">
        <v>23</v>
      </c>
      <c r="G1826">
        <v>70.75</v>
      </c>
      <c r="J1826">
        <f t="shared" si="28"/>
        <v>70.75</v>
      </c>
    </row>
    <row r="1827" spans="1:10" x14ac:dyDescent="0.25">
      <c r="A1827" t="s">
        <v>258</v>
      </c>
      <c r="B1827" t="s">
        <v>259</v>
      </c>
      <c r="C1827" t="s">
        <v>24</v>
      </c>
      <c r="D1827" t="s">
        <v>25</v>
      </c>
      <c r="J1827">
        <f t="shared" si="28"/>
        <v>0</v>
      </c>
    </row>
    <row r="1828" spans="1:10" x14ac:dyDescent="0.25">
      <c r="A1828" t="s">
        <v>258</v>
      </c>
      <c r="B1828" t="s">
        <v>259</v>
      </c>
      <c r="C1828" t="s">
        <v>26</v>
      </c>
      <c r="D1828" t="s">
        <v>27</v>
      </c>
      <c r="E1828">
        <v>2.4</v>
      </c>
      <c r="I1828">
        <v>2</v>
      </c>
      <c r="J1828">
        <f t="shared" si="28"/>
        <v>2.4</v>
      </c>
    </row>
    <row r="1829" spans="1:10" x14ac:dyDescent="0.25">
      <c r="A1829" t="s">
        <v>258</v>
      </c>
      <c r="B1829" t="s">
        <v>259</v>
      </c>
      <c r="C1829" t="s">
        <v>28</v>
      </c>
      <c r="D1829" t="s">
        <v>29</v>
      </c>
      <c r="E1829">
        <v>3</v>
      </c>
      <c r="J1829">
        <f t="shared" si="28"/>
        <v>3</v>
      </c>
    </row>
    <row r="1830" spans="1:10" x14ac:dyDescent="0.25">
      <c r="A1830" t="s">
        <v>258</v>
      </c>
      <c r="B1830" t="s">
        <v>259</v>
      </c>
      <c r="C1830" t="s">
        <v>30</v>
      </c>
      <c r="D1830" t="s">
        <v>31</v>
      </c>
      <c r="E1830">
        <v>63.033511288359598</v>
      </c>
      <c r="F1830">
        <v>77.602883349438201</v>
      </c>
      <c r="G1830">
        <v>77.515395937772197</v>
      </c>
      <c r="H1830">
        <v>64.315788577754802</v>
      </c>
      <c r="J1830">
        <f t="shared" si="28"/>
        <v>77.602883349438201</v>
      </c>
    </row>
    <row r="1831" spans="1:10" x14ac:dyDescent="0.25">
      <c r="A1831" t="s">
        <v>258</v>
      </c>
      <c r="B1831" t="s">
        <v>259</v>
      </c>
      <c r="C1831" t="s">
        <v>32</v>
      </c>
      <c r="D1831" t="s">
        <v>33</v>
      </c>
      <c r="E1831">
        <v>10</v>
      </c>
      <c r="F1831">
        <v>10</v>
      </c>
      <c r="G1831">
        <v>11</v>
      </c>
      <c r="H1831">
        <v>11</v>
      </c>
      <c r="I1831">
        <v>11</v>
      </c>
      <c r="J1831">
        <f t="shared" si="28"/>
        <v>11</v>
      </c>
    </row>
    <row r="1832" spans="1:10" x14ac:dyDescent="0.25">
      <c r="A1832" t="s">
        <v>258</v>
      </c>
      <c r="B1832" t="s">
        <v>259</v>
      </c>
      <c r="C1832" t="s">
        <v>34</v>
      </c>
      <c r="D1832" t="s">
        <v>35</v>
      </c>
      <c r="E1832">
        <v>59.523811340332003</v>
      </c>
      <c r="F1832">
        <v>64.285713195800795</v>
      </c>
      <c r="G1832">
        <v>60</v>
      </c>
      <c r="H1832">
        <v>60.377357482910199</v>
      </c>
      <c r="I1832">
        <v>61.320755004882798</v>
      </c>
      <c r="J1832">
        <f t="shared" si="28"/>
        <v>64.285713195800795</v>
      </c>
    </row>
    <row r="1833" spans="1:10" x14ac:dyDescent="0.25">
      <c r="A1833" t="s">
        <v>258</v>
      </c>
      <c r="B1833" t="s">
        <v>259</v>
      </c>
      <c r="C1833" t="s">
        <v>36</v>
      </c>
      <c r="D1833" t="s">
        <v>37</v>
      </c>
      <c r="J1833">
        <f t="shared" si="28"/>
        <v>0</v>
      </c>
    </row>
    <row r="1834" spans="1:10" x14ac:dyDescent="0.25">
      <c r="A1834" t="s">
        <v>258</v>
      </c>
      <c r="B1834" t="s">
        <v>259</v>
      </c>
      <c r="C1834" t="s">
        <v>38</v>
      </c>
      <c r="D1834" t="s">
        <v>39</v>
      </c>
      <c r="J1834">
        <f t="shared" si="28"/>
        <v>0</v>
      </c>
    </row>
    <row r="1835" spans="1:10" x14ac:dyDescent="0.25">
      <c r="A1835" t="s">
        <v>258</v>
      </c>
      <c r="B1835" t="s">
        <v>259</v>
      </c>
      <c r="C1835" t="s">
        <v>40</v>
      </c>
      <c r="D1835" t="s">
        <v>41</v>
      </c>
      <c r="E1835">
        <v>89.688047999999995</v>
      </c>
      <c r="F1835">
        <v>89.435019999999994</v>
      </c>
      <c r="G1835">
        <v>86.768808000000007</v>
      </c>
      <c r="H1835">
        <v>89.215841999999995</v>
      </c>
      <c r="J1835">
        <f t="shared" si="28"/>
        <v>89.688047999999995</v>
      </c>
    </row>
    <row r="1836" spans="1:10" x14ac:dyDescent="0.25">
      <c r="A1836" t="s">
        <v>258</v>
      </c>
      <c r="B1836" t="s">
        <v>259</v>
      </c>
      <c r="C1836" t="s">
        <v>42</v>
      </c>
      <c r="D1836" t="s">
        <v>43</v>
      </c>
      <c r="J1836">
        <f t="shared" si="28"/>
        <v>0</v>
      </c>
    </row>
    <row r="1837" spans="1:10" x14ac:dyDescent="0.25">
      <c r="A1837" t="s">
        <v>258</v>
      </c>
      <c r="B1837" t="s">
        <v>259</v>
      </c>
      <c r="C1837" t="s">
        <v>44</v>
      </c>
      <c r="D1837" t="s">
        <v>45</v>
      </c>
      <c r="E1837">
        <v>21.5</v>
      </c>
      <c r="J1837">
        <f t="shared" si="28"/>
        <v>21.5</v>
      </c>
    </row>
    <row r="1838" spans="1:10" x14ac:dyDescent="0.25">
      <c r="A1838" t="s">
        <v>260</v>
      </c>
      <c r="B1838" t="s">
        <v>261</v>
      </c>
      <c r="C1838" t="s">
        <v>11</v>
      </c>
      <c r="D1838" t="s">
        <v>12</v>
      </c>
      <c r="G1838">
        <v>99.05</v>
      </c>
      <c r="J1838">
        <f t="shared" si="28"/>
        <v>99.05</v>
      </c>
    </row>
    <row r="1839" spans="1:10" x14ac:dyDescent="0.25">
      <c r="A1839" t="s">
        <v>260</v>
      </c>
      <c r="B1839" t="s">
        <v>261</v>
      </c>
      <c r="C1839" t="s">
        <v>14</v>
      </c>
      <c r="D1839" t="s">
        <v>15</v>
      </c>
      <c r="G1839">
        <v>98.15</v>
      </c>
      <c r="J1839">
        <f t="shared" si="28"/>
        <v>98.15</v>
      </c>
    </row>
    <row r="1840" spans="1:10" x14ac:dyDescent="0.25">
      <c r="A1840" t="s">
        <v>260</v>
      </c>
      <c r="B1840" t="s">
        <v>261</v>
      </c>
      <c r="C1840" t="s">
        <v>16</v>
      </c>
      <c r="D1840" t="s">
        <v>17</v>
      </c>
      <c r="G1840">
        <v>100</v>
      </c>
      <c r="J1840">
        <f t="shared" si="28"/>
        <v>100</v>
      </c>
    </row>
    <row r="1841" spans="1:10" x14ac:dyDescent="0.25">
      <c r="A1841" t="s">
        <v>260</v>
      </c>
      <c r="B1841" t="s">
        <v>261</v>
      </c>
      <c r="C1841" t="s">
        <v>18</v>
      </c>
      <c r="D1841" t="s">
        <v>19</v>
      </c>
      <c r="G1841">
        <v>97.62</v>
      </c>
      <c r="J1841">
        <f t="shared" si="28"/>
        <v>97.62</v>
      </c>
    </row>
    <row r="1842" spans="1:10" x14ac:dyDescent="0.25">
      <c r="A1842" t="s">
        <v>260</v>
      </c>
      <c r="B1842" t="s">
        <v>261</v>
      </c>
      <c r="C1842" t="s">
        <v>20</v>
      </c>
      <c r="D1842" t="s">
        <v>21</v>
      </c>
      <c r="G1842">
        <v>100</v>
      </c>
      <c r="J1842">
        <f t="shared" si="28"/>
        <v>100</v>
      </c>
    </row>
    <row r="1843" spans="1:10" x14ac:dyDescent="0.25">
      <c r="A1843" t="s">
        <v>260</v>
      </c>
      <c r="B1843" t="s">
        <v>261</v>
      </c>
      <c r="C1843" t="s">
        <v>22</v>
      </c>
      <c r="D1843" t="s">
        <v>23</v>
      </c>
      <c r="G1843">
        <v>96.81</v>
      </c>
      <c r="J1843">
        <f t="shared" si="28"/>
        <v>96.81</v>
      </c>
    </row>
    <row r="1844" spans="1:10" x14ac:dyDescent="0.25">
      <c r="A1844" t="s">
        <v>260</v>
      </c>
      <c r="B1844" t="s">
        <v>261</v>
      </c>
      <c r="C1844" t="s">
        <v>24</v>
      </c>
      <c r="D1844" t="s">
        <v>25</v>
      </c>
      <c r="J1844">
        <f t="shared" si="28"/>
        <v>0</v>
      </c>
    </row>
    <row r="1845" spans="1:10" x14ac:dyDescent="0.25">
      <c r="A1845" t="s">
        <v>260</v>
      </c>
      <c r="B1845" t="s">
        <v>261</v>
      </c>
      <c r="C1845" t="s">
        <v>26</v>
      </c>
      <c r="D1845" t="s">
        <v>27</v>
      </c>
      <c r="E1845">
        <v>1.8</v>
      </c>
      <c r="J1845">
        <f t="shared" si="28"/>
        <v>1.8</v>
      </c>
    </row>
    <row r="1846" spans="1:10" x14ac:dyDescent="0.25">
      <c r="A1846" t="s">
        <v>260</v>
      </c>
      <c r="B1846" t="s">
        <v>261</v>
      </c>
      <c r="C1846" t="s">
        <v>28</v>
      </c>
      <c r="D1846" t="s">
        <v>29</v>
      </c>
      <c r="E1846">
        <v>5</v>
      </c>
      <c r="J1846">
        <f t="shared" si="28"/>
        <v>5</v>
      </c>
    </row>
    <row r="1847" spans="1:10" x14ac:dyDescent="0.25">
      <c r="A1847" t="s">
        <v>260</v>
      </c>
      <c r="B1847" t="s">
        <v>261</v>
      </c>
      <c r="C1847" t="s">
        <v>30</v>
      </c>
      <c r="D1847" t="s">
        <v>31</v>
      </c>
      <c r="J1847">
        <f t="shared" si="28"/>
        <v>0</v>
      </c>
    </row>
    <row r="1848" spans="1:10" x14ac:dyDescent="0.25">
      <c r="A1848" t="s">
        <v>260</v>
      </c>
      <c r="B1848" t="s">
        <v>261</v>
      </c>
      <c r="C1848" t="s">
        <v>32</v>
      </c>
      <c r="D1848" t="s">
        <v>33</v>
      </c>
      <c r="E1848">
        <v>9</v>
      </c>
      <c r="F1848">
        <v>9</v>
      </c>
      <c r="G1848">
        <v>9</v>
      </c>
      <c r="H1848">
        <v>9</v>
      </c>
      <c r="I1848">
        <v>9</v>
      </c>
      <c r="J1848">
        <f t="shared" si="28"/>
        <v>9</v>
      </c>
    </row>
    <row r="1849" spans="1:10" x14ac:dyDescent="0.25">
      <c r="A1849" t="s">
        <v>260</v>
      </c>
      <c r="B1849" t="s">
        <v>261</v>
      </c>
      <c r="C1849" t="s">
        <v>34</v>
      </c>
      <c r="D1849" t="s">
        <v>35</v>
      </c>
      <c r="E1849">
        <v>80</v>
      </c>
      <c r="F1849">
        <v>78.095237731933594</v>
      </c>
      <c r="G1849">
        <v>75.238098144531193</v>
      </c>
      <c r="H1849">
        <v>78.301887512207003</v>
      </c>
      <c r="I1849">
        <v>77.358489990234403</v>
      </c>
      <c r="J1849">
        <f t="shared" si="28"/>
        <v>80</v>
      </c>
    </row>
    <row r="1850" spans="1:10" x14ac:dyDescent="0.25">
      <c r="A1850" t="s">
        <v>260</v>
      </c>
      <c r="B1850" t="s">
        <v>261</v>
      </c>
      <c r="C1850" t="s">
        <v>36</v>
      </c>
      <c r="D1850" t="s">
        <v>37</v>
      </c>
      <c r="J1850">
        <f t="shared" si="28"/>
        <v>0</v>
      </c>
    </row>
    <row r="1851" spans="1:10" x14ac:dyDescent="0.25">
      <c r="A1851" t="s">
        <v>260</v>
      </c>
      <c r="B1851" t="s">
        <v>261</v>
      </c>
      <c r="C1851" t="s">
        <v>38</v>
      </c>
      <c r="D1851" t="s">
        <v>39</v>
      </c>
      <c r="J1851">
        <f t="shared" si="28"/>
        <v>0</v>
      </c>
    </row>
    <row r="1852" spans="1:10" x14ac:dyDescent="0.25">
      <c r="A1852" t="s">
        <v>260</v>
      </c>
      <c r="B1852" t="s">
        <v>261</v>
      </c>
      <c r="C1852" t="s">
        <v>40</v>
      </c>
      <c r="D1852" t="s">
        <v>41</v>
      </c>
      <c r="E1852">
        <v>93.040729999999996</v>
      </c>
      <c r="F1852">
        <v>93.232579999999999</v>
      </c>
      <c r="G1852">
        <v>93.002931000000004</v>
      </c>
      <c r="H1852">
        <v>92.734509000000003</v>
      </c>
      <c r="J1852">
        <f t="shared" si="28"/>
        <v>93.232579999999999</v>
      </c>
    </row>
    <row r="1853" spans="1:10" x14ac:dyDescent="0.25">
      <c r="A1853" t="s">
        <v>260</v>
      </c>
      <c r="B1853" t="s">
        <v>261</v>
      </c>
      <c r="C1853" t="s">
        <v>42</v>
      </c>
      <c r="D1853" t="s">
        <v>43</v>
      </c>
      <c r="J1853">
        <f t="shared" si="28"/>
        <v>0</v>
      </c>
    </row>
    <row r="1854" spans="1:10" x14ac:dyDescent="0.25">
      <c r="A1854" t="s">
        <v>260</v>
      </c>
      <c r="B1854" t="s">
        <v>261</v>
      </c>
      <c r="C1854" t="s">
        <v>44</v>
      </c>
      <c r="D1854" t="s">
        <v>45</v>
      </c>
      <c r="E1854">
        <v>8</v>
      </c>
      <c r="J1854">
        <f t="shared" si="28"/>
        <v>8</v>
      </c>
    </row>
    <row r="1855" spans="1:10" x14ac:dyDescent="0.25">
      <c r="A1855" t="s">
        <v>262</v>
      </c>
      <c r="B1855" t="s">
        <v>263</v>
      </c>
      <c r="C1855" t="s">
        <v>11</v>
      </c>
      <c r="D1855" t="s">
        <v>12</v>
      </c>
      <c r="G1855">
        <v>85.38</v>
      </c>
      <c r="J1855">
        <f t="shared" si="28"/>
        <v>85.38</v>
      </c>
    </row>
    <row r="1856" spans="1:10" x14ac:dyDescent="0.25">
      <c r="A1856" t="s">
        <v>262</v>
      </c>
      <c r="B1856" t="s">
        <v>263</v>
      </c>
      <c r="C1856" t="s">
        <v>14</v>
      </c>
      <c r="D1856" t="s">
        <v>15</v>
      </c>
      <c r="G1856">
        <v>86.18</v>
      </c>
      <c r="J1856">
        <f t="shared" si="28"/>
        <v>86.18</v>
      </c>
    </row>
    <row r="1857" spans="1:10" x14ac:dyDescent="0.25">
      <c r="A1857" t="s">
        <v>262</v>
      </c>
      <c r="B1857" t="s">
        <v>263</v>
      </c>
      <c r="C1857" t="s">
        <v>16</v>
      </c>
      <c r="D1857" t="s">
        <v>17</v>
      </c>
      <c r="G1857">
        <v>84.56</v>
      </c>
      <c r="J1857">
        <f t="shared" si="28"/>
        <v>84.56</v>
      </c>
    </row>
    <row r="1858" spans="1:10" x14ac:dyDescent="0.25">
      <c r="A1858" t="s">
        <v>262</v>
      </c>
      <c r="B1858" t="s">
        <v>263</v>
      </c>
      <c r="C1858" t="s">
        <v>18</v>
      </c>
      <c r="D1858" t="s">
        <v>19</v>
      </c>
      <c r="G1858">
        <v>77.819999999999993</v>
      </c>
      <c r="J1858">
        <f t="shared" si="28"/>
        <v>77.819999999999993</v>
      </c>
    </row>
    <row r="1859" spans="1:10" x14ac:dyDescent="0.25">
      <c r="A1859" t="s">
        <v>262</v>
      </c>
      <c r="B1859" t="s">
        <v>263</v>
      </c>
      <c r="C1859" t="s">
        <v>20</v>
      </c>
      <c r="D1859" t="s">
        <v>21</v>
      </c>
      <c r="G1859">
        <v>79.06</v>
      </c>
      <c r="J1859">
        <f t="shared" ref="J1859:J1922" si="29">MAX(E1859:I1859)</f>
        <v>79.06</v>
      </c>
    </row>
    <row r="1860" spans="1:10" x14ac:dyDescent="0.25">
      <c r="A1860" t="s">
        <v>262</v>
      </c>
      <c r="B1860" t="s">
        <v>263</v>
      </c>
      <c r="C1860" t="s">
        <v>22</v>
      </c>
      <c r="D1860" t="s">
        <v>23</v>
      </c>
      <c r="G1860">
        <v>76.02</v>
      </c>
      <c r="J1860">
        <f t="shared" si="29"/>
        <v>76.02</v>
      </c>
    </row>
    <row r="1861" spans="1:10" x14ac:dyDescent="0.25">
      <c r="A1861" t="s">
        <v>262</v>
      </c>
      <c r="B1861" t="s">
        <v>263</v>
      </c>
      <c r="C1861" t="s">
        <v>24</v>
      </c>
      <c r="D1861" t="s">
        <v>25</v>
      </c>
      <c r="J1861">
        <f t="shared" si="29"/>
        <v>0</v>
      </c>
    </row>
    <row r="1862" spans="1:10" x14ac:dyDescent="0.25">
      <c r="A1862" t="s">
        <v>262</v>
      </c>
      <c r="B1862" t="s">
        <v>263</v>
      </c>
      <c r="C1862" t="s">
        <v>26</v>
      </c>
      <c r="D1862" t="s">
        <v>27</v>
      </c>
      <c r="F1862">
        <v>1.5</v>
      </c>
      <c r="J1862">
        <f t="shared" si="29"/>
        <v>1.5</v>
      </c>
    </row>
    <row r="1863" spans="1:10" x14ac:dyDescent="0.25">
      <c r="A1863" t="s">
        <v>262</v>
      </c>
      <c r="B1863" t="s">
        <v>263</v>
      </c>
      <c r="C1863" t="s">
        <v>28</v>
      </c>
      <c r="D1863" t="s">
        <v>29</v>
      </c>
      <c r="E1863">
        <v>8</v>
      </c>
      <c r="J1863">
        <f t="shared" si="29"/>
        <v>8</v>
      </c>
    </row>
    <row r="1864" spans="1:10" x14ac:dyDescent="0.25">
      <c r="A1864" t="s">
        <v>262</v>
      </c>
      <c r="B1864" t="s">
        <v>263</v>
      </c>
      <c r="C1864" t="s">
        <v>30</v>
      </c>
      <c r="D1864" t="s">
        <v>31</v>
      </c>
      <c r="E1864">
        <v>64.589278135110405</v>
      </c>
      <c r="F1864">
        <v>75.725509079321597</v>
      </c>
      <c r="G1864">
        <v>73.806509100935401</v>
      </c>
      <c r="H1864">
        <v>76.237238333753098</v>
      </c>
      <c r="J1864">
        <f t="shared" si="29"/>
        <v>76.237238333753098</v>
      </c>
    </row>
    <row r="1865" spans="1:10" x14ac:dyDescent="0.25">
      <c r="A1865" t="s">
        <v>262</v>
      </c>
      <c r="B1865" t="s">
        <v>263</v>
      </c>
      <c r="C1865" t="s">
        <v>32</v>
      </c>
      <c r="D1865" t="s">
        <v>33</v>
      </c>
      <c r="E1865">
        <v>9</v>
      </c>
      <c r="F1865">
        <v>9</v>
      </c>
      <c r="G1865">
        <v>9</v>
      </c>
      <c r="H1865">
        <v>9</v>
      </c>
      <c r="I1865">
        <v>9</v>
      </c>
      <c r="J1865">
        <f t="shared" si="29"/>
        <v>9</v>
      </c>
    </row>
    <row r="1866" spans="1:10" x14ac:dyDescent="0.25">
      <c r="A1866" t="s">
        <v>262</v>
      </c>
      <c r="B1866" t="s">
        <v>263</v>
      </c>
      <c r="C1866" t="s">
        <v>34</v>
      </c>
      <c r="D1866" t="s">
        <v>35</v>
      </c>
      <c r="E1866">
        <v>54.285713195800803</v>
      </c>
      <c r="F1866">
        <v>53.333332061767599</v>
      </c>
      <c r="G1866">
        <v>53.809524536132798</v>
      </c>
      <c r="H1866">
        <v>43.867923736572301</v>
      </c>
      <c r="I1866">
        <v>45.754718780517599</v>
      </c>
      <c r="J1866">
        <f t="shared" si="29"/>
        <v>54.285713195800803</v>
      </c>
    </row>
    <row r="1867" spans="1:10" x14ac:dyDescent="0.25">
      <c r="A1867" t="s">
        <v>262</v>
      </c>
      <c r="B1867" t="s">
        <v>263</v>
      </c>
      <c r="C1867" t="s">
        <v>36</v>
      </c>
      <c r="D1867" t="s">
        <v>37</v>
      </c>
      <c r="E1867">
        <v>82.606359846140094</v>
      </c>
      <c r="F1867">
        <v>77.591357180010903</v>
      </c>
      <c r="J1867">
        <f t="shared" si="29"/>
        <v>82.606359846140094</v>
      </c>
    </row>
    <row r="1868" spans="1:10" x14ac:dyDescent="0.25">
      <c r="A1868" t="s">
        <v>262</v>
      </c>
      <c r="B1868" t="s">
        <v>263</v>
      </c>
      <c r="C1868" t="s">
        <v>38</v>
      </c>
      <c r="D1868" t="s">
        <v>39</v>
      </c>
      <c r="E1868">
        <v>0.55485179503274296</v>
      </c>
      <c r="F1868">
        <v>6.6498266313508705E-2</v>
      </c>
      <c r="J1868">
        <f t="shared" si="29"/>
        <v>0.55485179503274296</v>
      </c>
    </row>
    <row r="1869" spans="1:10" x14ac:dyDescent="0.25">
      <c r="A1869" t="s">
        <v>262</v>
      </c>
      <c r="B1869" t="s">
        <v>263</v>
      </c>
      <c r="C1869" t="s">
        <v>40</v>
      </c>
      <c r="D1869" t="s">
        <v>41</v>
      </c>
      <c r="E1869">
        <v>67.134392000000005</v>
      </c>
      <c r="F1869">
        <v>64.152867999999998</v>
      </c>
      <c r="G1869">
        <v>58.390419999999999</v>
      </c>
      <c r="H1869">
        <v>67.756465000000006</v>
      </c>
      <c r="J1869">
        <f t="shared" si="29"/>
        <v>67.756465000000006</v>
      </c>
    </row>
    <row r="1870" spans="1:10" x14ac:dyDescent="0.25">
      <c r="A1870" t="s">
        <v>262</v>
      </c>
      <c r="B1870" t="s">
        <v>263</v>
      </c>
      <c r="C1870" t="s">
        <v>42</v>
      </c>
      <c r="D1870" t="s">
        <v>43</v>
      </c>
      <c r="J1870">
        <f t="shared" si="29"/>
        <v>0</v>
      </c>
    </row>
    <row r="1871" spans="1:10" x14ac:dyDescent="0.25">
      <c r="A1871" t="s">
        <v>262</v>
      </c>
      <c r="B1871" t="s">
        <v>263</v>
      </c>
      <c r="C1871" t="s">
        <v>44</v>
      </c>
      <c r="D1871" t="s">
        <v>45</v>
      </c>
      <c r="E1871">
        <v>40</v>
      </c>
      <c r="J1871">
        <f t="shared" si="29"/>
        <v>40</v>
      </c>
    </row>
    <row r="1872" spans="1:10" x14ac:dyDescent="0.25">
      <c r="A1872" t="s">
        <v>264</v>
      </c>
      <c r="B1872" t="s">
        <v>265</v>
      </c>
      <c r="C1872" t="s">
        <v>11</v>
      </c>
      <c r="D1872" t="s">
        <v>12</v>
      </c>
      <c r="G1872">
        <v>98.3</v>
      </c>
      <c r="J1872">
        <f t="shared" si="29"/>
        <v>98.3</v>
      </c>
    </row>
    <row r="1873" spans="1:10" x14ac:dyDescent="0.25">
      <c r="A1873" t="s">
        <v>264</v>
      </c>
      <c r="B1873" t="s">
        <v>265</v>
      </c>
      <c r="C1873" t="s">
        <v>14</v>
      </c>
      <c r="D1873" t="s">
        <v>15</v>
      </c>
      <c r="G1873">
        <v>97.49</v>
      </c>
      <c r="J1873">
        <f t="shared" si="29"/>
        <v>97.49</v>
      </c>
    </row>
    <row r="1874" spans="1:10" x14ac:dyDescent="0.25">
      <c r="A1874" t="s">
        <v>264</v>
      </c>
      <c r="B1874" t="s">
        <v>265</v>
      </c>
      <c r="C1874" t="s">
        <v>16</v>
      </c>
      <c r="D1874" t="s">
        <v>17</v>
      </c>
      <c r="G1874">
        <v>99.11</v>
      </c>
      <c r="J1874">
        <f t="shared" si="29"/>
        <v>99.11</v>
      </c>
    </row>
    <row r="1875" spans="1:10" x14ac:dyDescent="0.25">
      <c r="A1875" t="s">
        <v>264</v>
      </c>
      <c r="B1875" t="s">
        <v>265</v>
      </c>
      <c r="C1875" t="s">
        <v>18</v>
      </c>
      <c r="D1875" t="s">
        <v>19</v>
      </c>
      <c r="G1875">
        <v>97.93</v>
      </c>
      <c r="J1875">
        <f t="shared" si="29"/>
        <v>97.93</v>
      </c>
    </row>
    <row r="1876" spans="1:10" x14ac:dyDescent="0.25">
      <c r="A1876" t="s">
        <v>264</v>
      </c>
      <c r="B1876" t="s">
        <v>265</v>
      </c>
      <c r="C1876" t="s">
        <v>20</v>
      </c>
      <c r="D1876" t="s">
        <v>21</v>
      </c>
      <c r="G1876">
        <v>96.84</v>
      </c>
      <c r="J1876">
        <f t="shared" si="29"/>
        <v>96.84</v>
      </c>
    </row>
    <row r="1877" spans="1:10" x14ac:dyDescent="0.25">
      <c r="A1877" t="s">
        <v>264</v>
      </c>
      <c r="B1877" t="s">
        <v>265</v>
      </c>
      <c r="C1877" t="s">
        <v>22</v>
      </c>
      <c r="D1877" t="s">
        <v>23</v>
      </c>
      <c r="G1877">
        <v>96.37</v>
      </c>
      <c r="J1877">
        <f t="shared" si="29"/>
        <v>96.37</v>
      </c>
    </row>
    <row r="1878" spans="1:10" x14ac:dyDescent="0.25">
      <c r="A1878" t="s">
        <v>264</v>
      </c>
      <c r="B1878" t="s">
        <v>265</v>
      </c>
      <c r="C1878" t="s">
        <v>24</v>
      </c>
      <c r="D1878" t="s">
        <v>25</v>
      </c>
      <c r="J1878">
        <f t="shared" si="29"/>
        <v>0</v>
      </c>
    </row>
    <row r="1879" spans="1:10" x14ac:dyDescent="0.25">
      <c r="A1879" t="s">
        <v>264</v>
      </c>
      <c r="B1879" t="s">
        <v>265</v>
      </c>
      <c r="C1879" t="s">
        <v>26</v>
      </c>
      <c r="D1879" t="s">
        <v>27</v>
      </c>
      <c r="G1879">
        <v>3.5</v>
      </c>
      <c r="J1879">
        <f t="shared" si="29"/>
        <v>3.5</v>
      </c>
    </row>
    <row r="1880" spans="1:10" x14ac:dyDescent="0.25">
      <c r="A1880" t="s">
        <v>264</v>
      </c>
      <c r="B1880" t="s">
        <v>265</v>
      </c>
      <c r="C1880" t="s">
        <v>28</v>
      </c>
      <c r="D1880" t="s">
        <v>29</v>
      </c>
      <c r="E1880">
        <v>7</v>
      </c>
      <c r="J1880">
        <f t="shared" si="29"/>
        <v>7</v>
      </c>
    </row>
    <row r="1881" spans="1:10" x14ac:dyDescent="0.25">
      <c r="A1881" t="s">
        <v>264</v>
      </c>
      <c r="B1881" t="s">
        <v>265</v>
      </c>
      <c r="C1881" t="s">
        <v>30</v>
      </c>
      <c r="D1881" t="s">
        <v>31</v>
      </c>
      <c r="E1881">
        <v>111.31802542129201</v>
      </c>
      <c r="F1881">
        <v>138.91198855805999</v>
      </c>
      <c r="G1881">
        <v>132.58970502582099</v>
      </c>
      <c r="H1881">
        <v>109.21602300273</v>
      </c>
      <c r="J1881">
        <f t="shared" si="29"/>
        <v>138.91198855805999</v>
      </c>
    </row>
    <row r="1882" spans="1:10" x14ac:dyDescent="0.25">
      <c r="A1882" t="s">
        <v>264</v>
      </c>
      <c r="B1882" t="s">
        <v>265</v>
      </c>
      <c r="C1882" t="s">
        <v>32</v>
      </c>
      <c r="D1882" t="s">
        <v>33</v>
      </c>
      <c r="E1882">
        <v>10</v>
      </c>
      <c r="F1882">
        <v>10</v>
      </c>
      <c r="G1882">
        <v>10</v>
      </c>
      <c r="H1882">
        <v>10</v>
      </c>
      <c r="I1882">
        <v>10</v>
      </c>
      <c r="J1882">
        <f t="shared" si="29"/>
        <v>10</v>
      </c>
    </row>
    <row r="1883" spans="1:10" x14ac:dyDescent="0.25">
      <c r="A1883" t="s">
        <v>264</v>
      </c>
      <c r="B1883" t="s">
        <v>265</v>
      </c>
      <c r="C1883" t="s">
        <v>34</v>
      </c>
      <c r="D1883" t="s">
        <v>35</v>
      </c>
      <c r="E1883">
        <v>73.809524536132798</v>
      </c>
      <c r="F1883">
        <v>75.714286804199205</v>
      </c>
      <c r="G1883">
        <v>75.714286804199205</v>
      </c>
      <c r="H1883">
        <v>75</v>
      </c>
      <c r="I1883">
        <v>71.698112487792997</v>
      </c>
      <c r="J1883">
        <f t="shared" si="29"/>
        <v>75.714286804199205</v>
      </c>
    </row>
    <row r="1884" spans="1:10" x14ac:dyDescent="0.25">
      <c r="A1884" t="s">
        <v>264</v>
      </c>
      <c r="B1884" t="s">
        <v>265</v>
      </c>
      <c r="C1884" t="s">
        <v>36</v>
      </c>
      <c r="D1884" t="s">
        <v>37</v>
      </c>
      <c r="J1884">
        <f t="shared" si="29"/>
        <v>0</v>
      </c>
    </row>
    <row r="1885" spans="1:10" x14ac:dyDescent="0.25">
      <c r="A1885" t="s">
        <v>264</v>
      </c>
      <c r="B1885" t="s">
        <v>265</v>
      </c>
      <c r="C1885" t="s">
        <v>38</v>
      </c>
      <c r="D1885" t="s">
        <v>39</v>
      </c>
      <c r="J1885">
        <f t="shared" si="29"/>
        <v>0</v>
      </c>
    </row>
    <row r="1886" spans="1:10" x14ac:dyDescent="0.25">
      <c r="A1886" t="s">
        <v>264</v>
      </c>
      <c r="B1886" t="s">
        <v>265</v>
      </c>
      <c r="C1886" t="s">
        <v>40</v>
      </c>
      <c r="D1886" t="s">
        <v>41</v>
      </c>
      <c r="E1886">
        <v>94.078739999999996</v>
      </c>
      <c r="F1886">
        <v>93.640405000000001</v>
      </c>
      <c r="G1886">
        <v>93.827787000000001</v>
      </c>
      <c r="H1886">
        <v>93.312496999999993</v>
      </c>
      <c r="J1886">
        <f t="shared" si="29"/>
        <v>94.078739999999996</v>
      </c>
    </row>
    <row r="1887" spans="1:10" x14ac:dyDescent="0.25">
      <c r="A1887" t="s">
        <v>264</v>
      </c>
      <c r="B1887" t="s">
        <v>265</v>
      </c>
      <c r="C1887" t="s">
        <v>42</v>
      </c>
      <c r="D1887" t="s">
        <v>43</v>
      </c>
      <c r="J1887">
        <f t="shared" si="29"/>
        <v>0</v>
      </c>
    </row>
    <row r="1888" spans="1:10" x14ac:dyDescent="0.25">
      <c r="A1888" t="s">
        <v>264</v>
      </c>
      <c r="B1888" t="s">
        <v>265</v>
      </c>
      <c r="C1888" t="s">
        <v>44</v>
      </c>
      <c r="D1888" t="s">
        <v>45</v>
      </c>
      <c r="E1888">
        <v>12.5</v>
      </c>
      <c r="J1888">
        <f t="shared" si="29"/>
        <v>12.5</v>
      </c>
    </row>
    <row r="1889" spans="1:10" x14ac:dyDescent="0.25">
      <c r="A1889" t="s">
        <v>266</v>
      </c>
      <c r="B1889" t="s">
        <v>267</v>
      </c>
      <c r="C1889" t="s">
        <v>11</v>
      </c>
      <c r="D1889" t="s">
        <v>12</v>
      </c>
      <c r="G1889">
        <v>89.27</v>
      </c>
      <c r="J1889">
        <f t="shared" si="29"/>
        <v>89.27</v>
      </c>
    </row>
    <row r="1890" spans="1:10" x14ac:dyDescent="0.25">
      <c r="A1890" t="s">
        <v>266</v>
      </c>
      <c r="B1890" t="s">
        <v>267</v>
      </c>
      <c r="C1890" t="s">
        <v>14</v>
      </c>
      <c r="D1890" t="s">
        <v>15</v>
      </c>
      <c r="G1890">
        <v>89.28</v>
      </c>
      <c r="J1890">
        <f t="shared" si="29"/>
        <v>89.28</v>
      </c>
    </row>
    <row r="1891" spans="1:10" x14ac:dyDescent="0.25">
      <c r="A1891" t="s">
        <v>266</v>
      </c>
      <c r="B1891" t="s">
        <v>267</v>
      </c>
      <c r="C1891" t="s">
        <v>16</v>
      </c>
      <c r="D1891" t="s">
        <v>17</v>
      </c>
      <c r="G1891">
        <v>89.26</v>
      </c>
      <c r="J1891">
        <f t="shared" si="29"/>
        <v>89.26</v>
      </c>
    </row>
    <row r="1892" spans="1:10" x14ac:dyDescent="0.25">
      <c r="A1892" t="s">
        <v>266</v>
      </c>
      <c r="B1892" t="s">
        <v>267</v>
      </c>
      <c r="C1892" t="s">
        <v>18</v>
      </c>
      <c r="D1892" t="s">
        <v>19</v>
      </c>
      <c r="G1892">
        <v>87.08</v>
      </c>
      <c r="J1892">
        <f t="shared" si="29"/>
        <v>87.08</v>
      </c>
    </row>
    <row r="1893" spans="1:10" x14ac:dyDescent="0.25">
      <c r="A1893" t="s">
        <v>266</v>
      </c>
      <c r="B1893" t="s">
        <v>267</v>
      </c>
      <c r="C1893" t="s">
        <v>20</v>
      </c>
      <c r="D1893" t="s">
        <v>21</v>
      </c>
      <c r="G1893">
        <v>86.4</v>
      </c>
      <c r="J1893">
        <f t="shared" si="29"/>
        <v>86.4</v>
      </c>
    </row>
    <row r="1894" spans="1:10" x14ac:dyDescent="0.25">
      <c r="A1894" t="s">
        <v>266</v>
      </c>
      <c r="B1894" t="s">
        <v>267</v>
      </c>
      <c r="C1894" t="s">
        <v>22</v>
      </c>
      <c r="D1894" t="s">
        <v>23</v>
      </c>
      <c r="G1894">
        <v>76.930000000000007</v>
      </c>
      <c r="J1894">
        <f t="shared" si="29"/>
        <v>76.930000000000007</v>
      </c>
    </row>
    <row r="1895" spans="1:10" x14ac:dyDescent="0.25">
      <c r="A1895" t="s">
        <v>266</v>
      </c>
      <c r="B1895" t="s">
        <v>267</v>
      </c>
      <c r="C1895" t="s">
        <v>24</v>
      </c>
      <c r="D1895" t="s">
        <v>25</v>
      </c>
      <c r="J1895">
        <f t="shared" si="29"/>
        <v>0</v>
      </c>
    </row>
    <row r="1896" spans="1:10" x14ac:dyDescent="0.25">
      <c r="A1896" t="s">
        <v>266</v>
      </c>
      <c r="B1896" t="s">
        <v>267</v>
      </c>
      <c r="C1896" t="s">
        <v>26</v>
      </c>
      <c r="D1896" t="s">
        <v>27</v>
      </c>
      <c r="J1896">
        <f t="shared" si="29"/>
        <v>0</v>
      </c>
    </row>
    <row r="1897" spans="1:10" x14ac:dyDescent="0.25">
      <c r="A1897" t="s">
        <v>266</v>
      </c>
      <c r="B1897" t="s">
        <v>267</v>
      </c>
      <c r="C1897" t="s">
        <v>28</v>
      </c>
      <c r="D1897" t="s">
        <v>29</v>
      </c>
      <c r="E1897">
        <v>8</v>
      </c>
      <c r="J1897">
        <f t="shared" si="29"/>
        <v>8</v>
      </c>
    </row>
    <row r="1898" spans="1:10" x14ac:dyDescent="0.25">
      <c r="A1898" t="s">
        <v>266</v>
      </c>
      <c r="B1898" t="s">
        <v>267</v>
      </c>
      <c r="C1898" t="s">
        <v>30</v>
      </c>
      <c r="D1898" t="s">
        <v>31</v>
      </c>
      <c r="J1898">
        <f t="shared" si="29"/>
        <v>0</v>
      </c>
    </row>
    <row r="1899" spans="1:10" x14ac:dyDescent="0.25">
      <c r="A1899" t="s">
        <v>266</v>
      </c>
      <c r="B1899" t="s">
        <v>267</v>
      </c>
      <c r="C1899" t="s">
        <v>32</v>
      </c>
      <c r="D1899" t="s">
        <v>33</v>
      </c>
      <c r="E1899">
        <v>11</v>
      </c>
      <c r="F1899">
        <v>11</v>
      </c>
      <c r="G1899">
        <v>11</v>
      </c>
      <c r="H1899">
        <v>11</v>
      </c>
      <c r="I1899">
        <v>11</v>
      </c>
      <c r="J1899">
        <f t="shared" si="29"/>
        <v>11</v>
      </c>
    </row>
    <row r="1900" spans="1:10" x14ac:dyDescent="0.25">
      <c r="A1900" t="s">
        <v>266</v>
      </c>
      <c r="B1900" t="s">
        <v>267</v>
      </c>
      <c r="C1900" t="s">
        <v>34</v>
      </c>
      <c r="D1900" t="s">
        <v>35</v>
      </c>
      <c r="E1900">
        <v>44.285713195800803</v>
      </c>
      <c r="F1900">
        <v>43.333332061767599</v>
      </c>
      <c r="G1900">
        <v>42.380950927734403</v>
      </c>
      <c r="H1900">
        <v>40.0943412780762</v>
      </c>
      <c r="I1900">
        <v>40.0943412780762</v>
      </c>
      <c r="J1900">
        <f t="shared" si="29"/>
        <v>44.285713195800803</v>
      </c>
    </row>
    <row r="1901" spans="1:10" x14ac:dyDescent="0.25">
      <c r="A1901" t="s">
        <v>266</v>
      </c>
      <c r="B1901" t="s">
        <v>267</v>
      </c>
      <c r="C1901" t="s">
        <v>36</v>
      </c>
      <c r="D1901" t="s">
        <v>37</v>
      </c>
      <c r="E1901">
        <v>29.985752283944901</v>
      </c>
      <c r="J1901">
        <f t="shared" si="29"/>
        <v>29.985752283944901</v>
      </c>
    </row>
    <row r="1902" spans="1:10" x14ac:dyDescent="0.25">
      <c r="A1902" t="s">
        <v>266</v>
      </c>
      <c r="B1902" t="s">
        <v>267</v>
      </c>
      <c r="C1902" t="s">
        <v>38</v>
      </c>
      <c r="D1902" t="s">
        <v>39</v>
      </c>
      <c r="E1902">
        <v>2.8901918730262199</v>
      </c>
      <c r="J1902">
        <f t="shared" si="29"/>
        <v>2.8901918730262199</v>
      </c>
    </row>
    <row r="1903" spans="1:10" x14ac:dyDescent="0.25">
      <c r="A1903" t="s">
        <v>266</v>
      </c>
      <c r="B1903" t="s">
        <v>267</v>
      </c>
      <c r="C1903" t="s">
        <v>40</v>
      </c>
      <c r="D1903" t="s">
        <v>41</v>
      </c>
      <c r="E1903">
        <v>89.716672000000003</v>
      </c>
      <c r="F1903">
        <v>89.961823999999993</v>
      </c>
      <c r="G1903">
        <v>89.052763999999996</v>
      </c>
      <c r="H1903">
        <v>90.438481999999993</v>
      </c>
      <c r="J1903">
        <f t="shared" si="29"/>
        <v>90.438481999999993</v>
      </c>
    </row>
    <row r="1904" spans="1:10" x14ac:dyDescent="0.25">
      <c r="A1904" t="s">
        <v>266</v>
      </c>
      <c r="B1904" t="s">
        <v>267</v>
      </c>
      <c r="C1904" t="s">
        <v>42</v>
      </c>
      <c r="D1904" t="s">
        <v>43</v>
      </c>
      <c r="J1904">
        <f t="shared" si="29"/>
        <v>0</v>
      </c>
    </row>
    <row r="1905" spans="1:10" x14ac:dyDescent="0.25">
      <c r="A1905" t="s">
        <v>266</v>
      </c>
      <c r="B1905" t="s">
        <v>267</v>
      </c>
      <c r="C1905" t="s">
        <v>44</v>
      </c>
      <c r="D1905" t="s">
        <v>45</v>
      </c>
      <c r="E1905">
        <v>8</v>
      </c>
      <c r="J1905">
        <f t="shared" si="29"/>
        <v>8</v>
      </c>
    </row>
    <row r="1906" spans="1:10" x14ac:dyDescent="0.25">
      <c r="A1906" t="s">
        <v>268</v>
      </c>
      <c r="B1906" t="s">
        <v>269</v>
      </c>
      <c r="C1906" t="s">
        <v>11</v>
      </c>
      <c r="D1906" t="s">
        <v>12</v>
      </c>
      <c r="G1906">
        <v>99.49</v>
      </c>
      <c r="J1906">
        <f t="shared" si="29"/>
        <v>99.49</v>
      </c>
    </row>
    <row r="1907" spans="1:10" x14ac:dyDescent="0.25">
      <c r="A1907" t="s">
        <v>268</v>
      </c>
      <c r="B1907" t="s">
        <v>269</v>
      </c>
      <c r="C1907" t="s">
        <v>14</v>
      </c>
      <c r="D1907" t="s">
        <v>15</v>
      </c>
      <c r="G1907">
        <v>99.02</v>
      </c>
      <c r="J1907">
        <f t="shared" si="29"/>
        <v>99.02</v>
      </c>
    </row>
    <row r="1908" spans="1:10" x14ac:dyDescent="0.25">
      <c r="A1908" t="s">
        <v>268</v>
      </c>
      <c r="B1908" t="s">
        <v>269</v>
      </c>
      <c r="C1908" t="s">
        <v>16</v>
      </c>
      <c r="D1908" t="s">
        <v>17</v>
      </c>
      <c r="G1908">
        <v>100</v>
      </c>
      <c r="J1908">
        <f t="shared" si="29"/>
        <v>100</v>
      </c>
    </row>
    <row r="1909" spans="1:10" x14ac:dyDescent="0.25">
      <c r="A1909" t="s">
        <v>268</v>
      </c>
      <c r="B1909" t="s">
        <v>269</v>
      </c>
      <c r="C1909" t="s">
        <v>18</v>
      </c>
      <c r="D1909" t="s">
        <v>19</v>
      </c>
      <c r="G1909">
        <v>99.49</v>
      </c>
      <c r="J1909">
        <f t="shared" si="29"/>
        <v>99.49</v>
      </c>
    </row>
    <row r="1910" spans="1:10" x14ac:dyDescent="0.25">
      <c r="A1910" t="s">
        <v>268</v>
      </c>
      <c r="B1910" t="s">
        <v>269</v>
      </c>
      <c r="C1910" t="s">
        <v>20</v>
      </c>
      <c r="D1910" t="s">
        <v>21</v>
      </c>
      <c r="G1910">
        <v>100</v>
      </c>
      <c r="J1910">
        <f t="shared" si="29"/>
        <v>100</v>
      </c>
    </row>
    <row r="1911" spans="1:10" x14ac:dyDescent="0.25">
      <c r="A1911" t="s">
        <v>268</v>
      </c>
      <c r="B1911" t="s">
        <v>269</v>
      </c>
      <c r="C1911" t="s">
        <v>22</v>
      </c>
      <c r="D1911" t="s">
        <v>23</v>
      </c>
      <c r="G1911">
        <v>98.54</v>
      </c>
      <c r="J1911">
        <f t="shared" si="29"/>
        <v>98.54</v>
      </c>
    </row>
    <row r="1912" spans="1:10" x14ac:dyDescent="0.25">
      <c r="A1912" t="s">
        <v>268</v>
      </c>
      <c r="B1912" t="s">
        <v>269</v>
      </c>
      <c r="C1912" t="s">
        <v>24</v>
      </c>
      <c r="D1912" t="s">
        <v>25</v>
      </c>
      <c r="J1912">
        <f t="shared" si="29"/>
        <v>0</v>
      </c>
    </row>
    <row r="1913" spans="1:10" x14ac:dyDescent="0.25">
      <c r="A1913" t="s">
        <v>268</v>
      </c>
      <c r="B1913" t="s">
        <v>269</v>
      </c>
      <c r="C1913" t="s">
        <v>26</v>
      </c>
      <c r="D1913" t="s">
        <v>27</v>
      </c>
      <c r="J1913">
        <f t="shared" si="29"/>
        <v>0</v>
      </c>
    </row>
    <row r="1914" spans="1:10" x14ac:dyDescent="0.25">
      <c r="A1914" t="s">
        <v>268</v>
      </c>
      <c r="B1914" t="s">
        <v>269</v>
      </c>
      <c r="C1914" t="s">
        <v>28</v>
      </c>
      <c r="D1914" t="s">
        <v>29</v>
      </c>
      <c r="E1914">
        <v>0</v>
      </c>
      <c r="J1914">
        <f t="shared" si="29"/>
        <v>0</v>
      </c>
    </row>
    <row r="1915" spans="1:10" x14ac:dyDescent="0.25">
      <c r="A1915" t="s">
        <v>268</v>
      </c>
      <c r="B1915" t="s">
        <v>269</v>
      </c>
      <c r="C1915" t="s">
        <v>30</v>
      </c>
      <c r="D1915" t="s">
        <v>31</v>
      </c>
      <c r="E1915">
        <v>18.954259806668201</v>
      </c>
      <c r="F1915">
        <v>20.852107673759601</v>
      </c>
      <c r="G1915">
        <v>19.9857790162513</v>
      </c>
      <c r="H1915">
        <v>17.802863915924799</v>
      </c>
      <c r="J1915">
        <f t="shared" si="29"/>
        <v>20.852107673759601</v>
      </c>
    </row>
    <row r="1916" spans="1:10" x14ac:dyDescent="0.25">
      <c r="A1916" t="s">
        <v>268</v>
      </c>
      <c r="B1916" t="s">
        <v>269</v>
      </c>
      <c r="C1916" t="s">
        <v>32</v>
      </c>
      <c r="D1916" t="s">
        <v>33</v>
      </c>
      <c r="E1916">
        <v>11</v>
      </c>
      <c r="F1916">
        <v>11</v>
      </c>
      <c r="G1916">
        <v>11</v>
      </c>
      <c r="H1916">
        <v>11</v>
      </c>
      <c r="I1916">
        <v>11</v>
      </c>
      <c r="J1916">
        <f t="shared" si="29"/>
        <v>11</v>
      </c>
    </row>
    <row r="1917" spans="1:10" x14ac:dyDescent="0.25">
      <c r="A1917" t="s">
        <v>268</v>
      </c>
      <c r="B1917" t="s">
        <v>269</v>
      </c>
      <c r="C1917" t="s">
        <v>34</v>
      </c>
      <c r="D1917" t="s">
        <v>35</v>
      </c>
      <c r="E1917">
        <v>96.666664123535199</v>
      </c>
      <c r="F1917">
        <v>97.142860412597699</v>
      </c>
      <c r="G1917">
        <v>96.666664123535199</v>
      </c>
      <c r="H1917">
        <v>97.169815063476605</v>
      </c>
      <c r="I1917">
        <v>97.169815063476605</v>
      </c>
      <c r="J1917">
        <f t="shared" si="29"/>
        <v>97.169815063476605</v>
      </c>
    </row>
    <row r="1918" spans="1:10" x14ac:dyDescent="0.25">
      <c r="A1918" t="s">
        <v>268</v>
      </c>
      <c r="B1918" t="s">
        <v>269</v>
      </c>
      <c r="C1918" t="s">
        <v>36</v>
      </c>
      <c r="D1918" t="s">
        <v>37</v>
      </c>
      <c r="J1918">
        <f t="shared" si="29"/>
        <v>0</v>
      </c>
    </row>
    <row r="1919" spans="1:10" x14ac:dyDescent="0.25">
      <c r="A1919" t="s">
        <v>268</v>
      </c>
      <c r="B1919" t="s">
        <v>269</v>
      </c>
      <c r="C1919" t="s">
        <v>38</v>
      </c>
      <c r="D1919" t="s">
        <v>39</v>
      </c>
      <c r="J1919">
        <f t="shared" si="29"/>
        <v>0</v>
      </c>
    </row>
    <row r="1920" spans="1:10" x14ac:dyDescent="0.25">
      <c r="A1920" t="s">
        <v>268</v>
      </c>
      <c r="B1920" t="s">
        <v>269</v>
      </c>
      <c r="C1920" t="s">
        <v>40</v>
      </c>
      <c r="D1920" t="s">
        <v>41</v>
      </c>
      <c r="E1920">
        <v>94.329486000000003</v>
      </c>
      <c r="F1920">
        <v>94.311598000000004</v>
      </c>
      <c r="G1920">
        <v>94.338857000000004</v>
      </c>
      <c r="H1920">
        <v>94.406327000000005</v>
      </c>
      <c r="J1920">
        <f t="shared" si="29"/>
        <v>94.406327000000005</v>
      </c>
    </row>
    <row r="1921" spans="1:10" x14ac:dyDescent="0.25">
      <c r="A1921" t="s">
        <v>268</v>
      </c>
      <c r="B1921" t="s">
        <v>269</v>
      </c>
      <c r="C1921" t="s">
        <v>42</v>
      </c>
      <c r="D1921" t="s">
        <v>43</v>
      </c>
      <c r="J1921">
        <f t="shared" si="29"/>
        <v>0</v>
      </c>
    </row>
    <row r="1922" spans="1:10" x14ac:dyDescent="0.25">
      <c r="A1922" t="s">
        <v>268</v>
      </c>
      <c r="B1922" t="s">
        <v>269</v>
      </c>
      <c r="C1922" t="s">
        <v>44</v>
      </c>
      <c r="D1922" t="s">
        <v>45</v>
      </c>
      <c r="E1922">
        <v>10</v>
      </c>
      <c r="J1922">
        <f t="shared" si="29"/>
        <v>10</v>
      </c>
    </row>
    <row r="1923" spans="1:10" x14ac:dyDescent="0.25">
      <c r="A1923" t="s">
        <v>270</v>
      </c>
      <c r="B1923" t="s">
        <v>271</v>
      </c>
      <c r="C1923" t="s">
        <v>11</v>
      </c>
      <c r="D1923" t="s">
        <v>12</v>
      </c>
      <c r="G1923">
        <v>99.69</v>
      </c>
      <c r="J1923">
        <f t="shared" ref="J1923:J1986" si="30">MAX(E1923:I1923)</f>
        <v>99.69</v>
      </c>
    </row>
    <row r="1924" spans="1:10" x14ac:dyDescent="0.25">
      <c r="A1924" t="s">
        <v>270</v>
      </c>
      <c r="B1924" t="s">
        <v>271</v>
      </c>
      <c r="C1924" t="s">
        <v>14</v>
      </c>
      <c r="D1924" t="s">
        <v>15</v>
      </c>
      <c r="G1924">
        <v>100</v>
      </c>
      <c r="J1924">
        <f t="shared" si="30"/>
        <v>100</v>
      </c>
    </row>
    <row r="1925" spans="1:10" x14ac:dyDescent="0.25">
      <c r="A1925" t="s">
        <v>270</v>
      </c>
      <c r="B1925" t="s">
        <v>271</v>
      </c>
      <c r="C1925" t="s">
        <v>16</v>
      </c>
      <c r="D1925" t="s">
        <v>17</v>
      </c>
      <c r="G1925">
        <v>99.39</v>
      </c>
      <c r="J1925">
        <f t="shared" si="30"/>
        <v>99.39</v>
      </c>
    </row>
    <row r="1926" spans="1:10" x14ac:dyDescent="0.25">
      <c r="A1926" t="s">
        <v>270</v>
      </c>
      <c r="B1926" t="s">
        <v>271</v>
      </c>
      <c r="C1926" t="s">
        <v>18</v>
      </c>
      <c r="D1926" t="s">
        <v>19</v>
      </c>
      <c r="G1926">
        <v>99.22</v>
      </c>
      <c r="J1926">
        <f t="shared" si="30"/>
        <v>99.22</v>
      </c>
    </row>
    <row r="1927" spans="1:10" x14ac:dyDescent="0.25">
      <c r="A1927" t="s">
        <v>270</v>
      </c>
      <c r="B1927" t="s">
        <v>271</v>
      </c>
      <c r="C1927" t="s">
        <v>20</v>
      </c>
      <c r="D1927" t="s">
        <v>21</v>
      </c>
      <c r="G1927">
        <v>100</v>
      </c>
      <c r="J1927">
        <f t="shared" si="30"/>
        <v>100</v>
      </c>
    </row>
    <row r="1928" spans="1:10" x14ac:dyDescent="0.25">
      <c r="A1928" t="s">
        <v>270</v>
      </c>
      <c r="B1928" t="s">
        <v>271</v>
      </c>
      <c r="C1928" t="s">
        <v>22</v>
      </c>
      <c r="D1928" t="s">
        <v>23</v>
      </c>
      <c r="G1928">
        <v>100</v>
      </c>
      <c r="J1928">
        <f t="shared" si="30"/>
        <v>100</v>
      </c>
    </row>
    <row r="1929" spans="1:10" x14ac:dyDescent="0.25">
      <c r="A1929" t="s">
        <v>270</v>
      </c>
      <c r="B1929" t="s">
        <v>271</v>
      </c>
      <c r="C1929" t="s">
        <v>24</v>
      </c>
      <c r="D1929" t="s">
        <v>25</v>
      </c>
      <c r="J1929">
        <f t="shared" si="30"/>
        <v>0</v>
      </c>
    </row>
    <row r="1930" spans="1:10" x14ac:dyDescent="0.25">
      <c r="A1930" t="s">
        <v>270</v>
      </c>
      <c r="B1930" t="s">
        <v>271</v>
      </c>
      <c r="C1930" t="s">
        <v>26</v>
      </c>
      <c r="D1930" t="s">
        <v>27</v>
      </c>
      <c r="F1930">
        <v>0</v>
      </c>
      <c r="J1930">
        <f t="shared" si="30"/>
        <v>0</v>
      </c>
    </row>
    <row r="1931" spans="1:10" x14ac:dyDescent="0.25">
      <c r="A1931" t="s">
        <v>270</v>
      </c>
      <c r="B1931" t="s">
        <v>271</v>
      </c>
      <c r="C1931" t="s">
        <v>28</v>
      </c>
      <c r="D1931" t="s">
        <v>29</v>
      </c>
      <c r="E1931">
        <v>8</v>
      </c>
      <c r="J1931">
        <f t="shared" si="30"/>
        <v>8</v>
      </c>
    </row>
    <row r="1932" spans="1:10" x14ac:dyDescent="0.25">
      <c r="A1932" t="s">
        <v>270</v>
      </c>
      <c r="B1932" t="s">
        <v>271</v>
      </c>
      <c r="C1932" t="s">
        <v>30</v>
      </c>
      <c r="D1932" t="s">
        <v>31</v>
      </c>
      <c r="E1932">
        <v>38.794816987100099</v>
      </c>
      <c r="F1932">
        <v>44.178006754859297</v>
      </c>
      <c r="G1932">
        <v>40.655085312091302</v>
      </c>
      <c r="H1932">
        <v>36.910351562799697</v>
      </c>
      <c r="J1932">
        <f t="shared" si="30"/>
        <v>44.178006754859297</v>
      </c>
    </row>
    <row r="1933" spans="1:10" x14ac:dyDescent="0.25">
      <c r="A1933" t="s">
        <v>270</v>
      </c>
      <c r="B1933" t="s">
        <v>271</v>
      </c>
      <c r="C1933" t="s">
        <v>32</v>
      </c>
      <c r="D1933" t="s">
        <v>33</v>
      </c>
      <c r="E1933">
        <v>10</v>
      </c>
      <c r="F1933">
        <v>10</v>
      </c>
      <c r="G1933">
        <v>10</v>
      </c>
      <c r="H1933">
        <v>10</v>
      </c>
      <c r="I1933">
        <v>10</v>
      </c>
      <c r="J1933">
        <f t="shared" si="30"/>
        <v>10</v>
      </c>
    </row>
    <row r="1934" spans="1:10" x14ac:dyDescent="0.25">
      <c r="A1934" t="s">
        <v>270</v>
      </c>
      <c r="B1934" t="s">
        <v>271</v>
      </c>
      <c r="C1934" t="s">
        <v>34</v>
      </c>
      <c r="D1934" t="s">
        <v>35</v>
      </c>
      <c r="E1934">
        <v>98.095237731933594</v>
      </c>
      <c r="F1934">
        <v>98.095237731933594</v>
      </c>
      <c r="G1934">
        <v>97.619049072265597</v>
      </c>
      <c r="H1934">
        <v>97.641510009765597</v>
      </c>
      <c r="I1934">
        <v>97.641510009765597</v>
      </c>
      <c r="J1934">
        <f t="shared" si="30"/>
        <v>98.095237731933594</v>
      </c>
    </row>
    <row r="1935" spans="1:10" x14ac:dyDescent="0.25">
      <c r="A1935" t="s">
        <v>270</v>
      </c>
      <c r="B1935" t="s">
        <v>271</v>
      </c>
      <c r="C1935" t="s">
        <v>36</v>
      </c>
      <c r="D1935" t="s">
        <v>37</v>
      </c>
      <c r="J1935">
        <f t="shared" si="30"/>
        <v>0</v>
      </c>
    </row>
    <row r="1936" spans="1:10" x14ac:dyDescent="0.25">
      <c r="A1936" t="s">
        <v>270</v>
      </c>
      <c r="B1936" t="s">
        <v>271</v>
      </c>
      <c r="C1936" t="s">
        <v>38</v>
      </c>
      <c r="D1936" t="s">
        <v>39</v>
      </c>
      <c r="J1936">
        <f t="shared" si="30"/>
        <v>0</v>
      </c>
    </row>
    <row r="1937" spans="1:10" x14ac:dyDescent="0.25">
      <c r="A1937" t="s">
        <v>270</v>
      </c>
      <c r="B1937" t="s">
        <v>271</v>
      </c>
      <c r="C1937" t="s">
        <v>40</v>
      </c>
      <c r="D1937" t="s">
        <v>41</v>
      </c>
      <c r="E1937">
        <v>93.636600999999999</v>
      </c>
      <c r="F1937">
        <v>93.802505999999994</v>
      </c>
      <c r="G1937">
        <v>93.868146999999993</v>
      </c>
      <c r="H1937">
        <v>93.968680000000006</v>
      </c>
      <c r="J1937">
        <f t="shared" si="30"/>
        <v>93.968680000000006</v>
      </c>
    </row>
    <row r="1938" spans="1:10" x14ac:dyDescent="0.25">
      <c r="A1938" t="s">
        <v>270</v>
      </c>
      <c r="B1938" t="s">
        <v>271</v>
      </c>
      <c r="C1938" t="s">
        <v>42</v>
      </c>
      <c r="D1938" t="s">
        <v>43</v>
      </c>
      <c r="J1938">
        <f t="shared" si="30"/>
        <v>0</v>
      </c>
    </row>
    <row r="1939" spans="1:10" x14ac:dyDescent="0.25">
      <c r="A1939" t="s">
        <v>270</v>
      </c>
      <c r="B1939" t="s">
        <v>271</v>
      </c>
      <c r="C1939" t="s">
        <v>44</v>
      </c>
      <c r="D1939" t="s">
        <v>45</v>
      </c>
      <c r="E1939">
        <v>7.5</v>
      </c>
      <c r="J1939">
        <f t="shared" si="30"/>
        <v>7.5</v>
      </c>
    </row>
    <row r="1940" spans="1:10" x14ac:dyDescent="0.25">
      <c r="A1940" t="s">
        <v>272</v>
      </c>
      <c r="B1940" t="s">
        <v>273</v>
      </c>
      <c r="C1940" t="s">
        <v>11</v>
      </c>
      <c r="D1940" t="s">
        <v>12</v>
      </c>
      <c r="J1940">
        <f t="shared" si="30"/>
        <v>0</v>
      </c>
    </row>
    <row r="1941" spans="1:10" x14ac:dyDescent="0.25">
      <c r="A1941" t="s">
        <v>272</v>
      </c>
      <c r="B1941" t="s">
        <v>273</v>
      </c>
      <c r="C1941" t="s">
        <v>14</v>
      </c>
      <c r="D1941" t="s">
        <v>15</v>
      </c>
      <c r="J1941">
        <f t="shared" si="30"/>
        <v>0</v>
      </c>
    </row>
    <row r="1942" spans="1:10" x14ac:dyDescent="0.25">
      <c r="A1942" t="s">
        <v>272</v>
      </c>
      <c r="B1942" t="s">
        <v>273</v>
      </c>
      <c r="C1942" t="s">
        <v>16</v>
      </c>
      <c r="D1942" t="s">
        <v>17</v>
      </c>
      <c r="J1942">
        <f t="shared" si="30"/>
        <v>0</v>
      </c>
    </row>
    <row r="1943" spans="1:10" x14ac:dyDescent="0.25">
      <c r="A1943" t="s">
        <v>272</v>
      </c>
      <c r="B1943" t="s">
        <v>273</v>
      </c>
      <c r="C1943" t="s">
        <v>18</v>
      </c>
      <c r="D1943" t="s">
        <v>19</v>
      </c>
      <c r="J1943">
        <f t="shared" si="30"/>
        <v>0</v>
      </c>
    </row>
    <row r="1944" spans="1:10" x14ac:dyDescent="0.25">
      <c r="A1944" t="s">
        <v>272</v>
      </c>
      <c r="B1944" t="s">
        <v>273</v>
      </c>
      <c r="C1944" t="s">
        <v>20</v>
      </c>
      <c r="D1944" t="s">
        <v>21</v>
      </c>
      <c r="J1944">
        <f t="shared" si="30"/>
        <v>0</v>
      </c>
    </row>
    <row r="1945" spans="1:10" x14ac:dyDescent="0.25">
      <c r="A1945" t="s">
        <v>272</v>
      </c>
      <c r="B1945" t="s">
        <v>273</v>
      </c>
      <c r="C1945" t="s">
        <v>22</v>
      </c>
      <c r="D1945" t="s">
        <v>23</v>
      </c>
      <c r="J1945">
        <f t="shared" si="30"/>
        <v>0</v>
      </c>
    </row>
    <row r="1946" spans="1:10" x14ac:dyDescent="0.25">
      <c r="A1946" t="s">
        <v>272</v>
      </c>
      <c r="B1946" t="s">
        <v>273</v>
      </c>
      <c r="C1946" t="s">
        <v>24</v>
      </c>
      <c r="D1946" t="s">
        <v>25</v>
      </c>
      <c r="J1946">
        <f t="shared" si="30"/>
        <v>0</v>
      </c>
    </row>
    <row r="1947" spans="1:10" x14ac:dyDescent="0.25">
      <c r="A1947" t="s">
        <v>272</v>
      </c>
      <c r="B1947" t="s">
        <v>273</v>
      </c>
      <c r="C1947" t="s">
        <v>26</v>
      </c>
      <c r="D1947" t="s">
        <v>27</v>
      </c>
      <c r="J1947">
        <f t="shared" si="30"/>
        <v>0</v>
      </c>
    </row>
    <row r="1948" spans="1:10" x14ac:dyDescent="0.25">
      <c r="A1948" t="s">
        <v>272</v>
      </c>
      <c r="B1948" t="s">
        <v>273</v>
      </c>
      <c r="C1948" t="s">
        <v>28</v>
      </c>
      <c r="D1948" t="s">
        <v>29</v>
      </c>
      <c r="E1948">
        <v>7</v>
      </c>
      <c r="J1948">
        <f t="shared" si="30"/>
        <v>7</v>
      </c>
    </row>
    <row r="1949" spans="1:10" x14ac:dyDescent="0.25">
      <c r="A1949" t="s">
        <v>272</v>
      </c>
      <c r="B1949" t="s">
        <v>273</v>
      </c>
      <c r="C1949" t="s">
        <v>30</v>
      </c>
      <c r="D1949" t="s">
        <v>31</v>
      </c>
      <c r="J1949">
        <f t="shared" si="30"/>
        <v>0</v>
      </c>
    </row>
    <row r="1950" spans="1:10" x14ac:dyDescent="0.25">
      <c r="A1950" t="s">
        <v>272</v>
      </c>
      <c r="B1950" t="s">
        <v>273</v>
      </c>
      <c r="C1950" t="s">
        <v>32</v>
      </c>
      <c r="D1950" t="s">
        <v>33</v>
      </c>
      <c r="E1950">
        <v>9</v>
      </c>
      <c r="F1950">
        <v>9</v>
      </c>
      <c r="G1950">
        <v>9</v>
      </c>
      <c r="H1950">
        <v>9</v>
      </c>
      <c r="I1950">
        <v>9</v>
      </c>
      <c r="J1950">
        <f t="shared" si="30"/>
        <v>9</v>
      </c>
    </row>
    <row r="1951" spans="1:10" x14ac:dyDescent="0.25">
      <c r="A1951" t="s">
        <v>272</v>
      </c>
      <c r="B1951" t="s">
        <v>273</v>
      </c>
      <c r="C1951" t="s">
        <v>34</v>
      </c>
      <c r="D1951" t="s">
        <v>35</v>
      </c>
      <c r="E1951">
        <v>1.42857146263123</v>
      </c>
      <c r="F1951">
        <v>0.47619047760963401</v>
      </c>
      <c r="G1951">
        <v>0.47619047760963401</v>
      </c>
      <c r="H1951">
        <v>0.94339621067047097</v>
      </c>
      <c r="I1951">
        <v>0.47169810533523598</v>
      </c>
      <c r="J1951">
        <f t="shared" si="30"/>
        <v>1.42857146263123</v>
      </c>
    </row>
    <row r="1952" spans="1:10" x14ac:dyDescent="0.25">
      <c r="A1952" t="s">
        <v>272</v>
      </c>
      <c r="B1952" t="s">
        <v>273</v>
      </c>
      <c r="C1952" t="s">
        <v>36</v>
      </c>
      <c r="D1952" t="s">
        <v>37</v>
      </c>
      <c r="J1952">
        <f t="shared" si="30"/>
        <v>0</v>
      </c>
    </row>
    <row r="1953" spans="1:10" x14ac:dyDescent="0.25">
      <c r="A1953" t="s">
        <v>272</v>
      </c>
      <c r="B1953" t="s">
        <v>273</v>
      </c>
      <c r="C1953" t="s">
        <v>38</v>
      </c>
      <c r="D1953" t="s">
        <v>39</v>
      </c>
      <c r="J1953">
        <f t="shared" si="30"/>
        <v>0</v>
      </c>
    </row>
    <row r="1954" spans="1:10" x14ac:dyDescent="0.25">
      <c r="A1954" t="s">
        <v>272</v>
      </c>
      <c r="B1954" t="s">
        <v>273</v>
      </c>
      <c r="C1954" t="s">
        <v>40</v>
      </c>
      <c r="D1954" t="s">
        <v>41</v>
      </c>
      <c r="E1954">
        <v>81.724759000000006</v>
      </c>
      <c r="F1954">
        <v>82.625803000000005</v>
      </c>
      <c r="G1954">
        <v>82.244178000000005</v>
      </c>
      <c r="H1954">
        <v>83.325704999999999</v>
      </c>
      <c r="J1954">
        <f t="shared" si="30"/>
        <v>83.325704999999999</v>
      </c>
    </row>
    <row r="1955" spans="1:10" x14ac:dyDescent="0.25">
      <c r="A1955" t="s">
        <v>272</v>
      </c>
      <c r="B1955" t="s">
        <v>273</v>
      </c>
      <c r="C1955" t="s">
        <v>42</v>
      </c>
      <c r="D1955" t="s">
        <v>43</v>
      </c>
      <c r="J1955">
        <f t="shared" si="30"/>
        <v>0</v>
      </c>
    </row>
    <row r="1956" spans="1:10" x14ac:dyDescent="0.25">
      <c r="A1956" t="s">
        <v>272</v>
      </c>
      <c r="B1956" t="s">
        <v>273</v>
      </c>
      <c r="C1956" t="s">
        <v>44</v>
      </c>
      <c r="D1956" t="s">
        <v>45</v>
      </c>
      <c r="E1956">
        <v>15.5</v>
      </c>
      <c r="J1956">
        <f t="shared" si="30"/>
        <v>15.5</v>
      </c>
    </row>
    <row r="1957" spans="1:10" x14ac:dyDescent="0.25">
      <c r="A1957" t="s">
        <v>274</v>
      </c>
      <c r="B1957" t="s">
        <v>275</v>
      </c>
      <c r="C1957" t="s">
        <v>11</v>
      </c>
      <c r="D1957" t="s">
        <v>12</v>
      </c>
      <c r="G1957">
        <v>39.49</v>
      </c>
      <c r="J1957">
        <f t="shared" si="30"/>
        <v>39.49</v>
      </c>
    </row>
    <row r="1958" spans="1:10" x14ac:dyDescent="0.25">
      <c r="A1958" t="s">
        <v>274</v>
      </c>
      <c r="B1958" t="s">
        <v>275</v>
      </c>
      <c r="C1958" t="s">
        <v>14</v>
      </c>
      <c r="D1958" t="s">
        <v>15</v>
      </c>
      <c r="G1958">
        <v>39.409999999999997</v>
      </c>
      <c r="J1958">
        <f t="shared" si="30"/>
        <v>39.409999999999997</v>
      </c>
    </row>
    <row r="1959" spans="1:10" x14ac:dyDescent="0.25">
      <c r="A1959" t="s">
        <v>274</v>
      </c>
      <c r="B1959" t="s">
        <v>275</v>
      </c>
      <c r="C1959" t="s">
        <v>16</v>
      </c>
      <c r="D1959" t="s">
        <v>17</v>
      </c>
      <c r="G1959">
        <v>39.57</v>
      </c>
      <c r="J1959">
        <f t="shared" si="30"/>
        <v>39.57</v>
      </c>
    </row>
    <row r="1960" spans="1:10" x14ac:dyDescent="0.25">
      <c r="A1960" t="s">
        <v>274</v>
      </c>
      <c r="B1960" t="s">
        <v>275</v>
      </c>
      <c r="C1960" t="s">
        <v>18</v>
      </c>
      <c r="D1960" t="s">
        <v>19</v>
      </c>
      <c r="G1960">
        <v>38.229999999999997</v>
      </c>
      <c r="J1960">
        <f t="shared" si="30"/>
        <v>38.229999999999997</v>
      </c>
    </row>
    <row r="1961" spans="1:10" x14ac:dyDescent="0.25">
      <c r="A1961" t="s">
        <v>274</v>
      </c>
      <c r="B1961" t="s">
        <v>275</v>
      </c>
      <c r="C1961" t="s">
        <v>20</v>
      </c>
      <c r="D1961" t="s">
        <v>21</v>
      </c>
      <c r="G1961">
        <v>18.079999999999998</v>
      </c>
      <c r="J1961">
        <f t="shared" si="30"/>
        <v>18.079999999999998</v>
      </c>
    </row>
    <row r="1962" spans="1:10" x14ac:dyDescent="0.25">
      <c r="A1962" t="s">
        <v>274</v>
      </c>
      <c r="B1962" t="s">
        <v>275</v>
      </c>
      <c r="C1962" t="s">
        <v>22</v>
      </c>
      <c r="D1962" t="s">
        <v>23</v>
      </c>
      <c r="G1962">
        <v>32.17</v>
      </c>
      <c r="J1962">
        <f t="shared" si="30"/>
        <v>32.17</v>
      </c>
    </row>
    <row r="1963" spans="1:10" x14ac:dyDescent="0.25">
      <c r="A1963" t="s">
        <v>274</v>
      </c>
      <c r="B1963" t="s">
        <v>275</v>
      </c>
      <c r="C1963" t="s">
        <v>24</v>
      </c>
      <c r="D1963" t="s">
        <v>25</v>
      </c>
      <c r="J1963">
        <f t="shared" si="30"/>
        <v>0</v>
      </c>
    </row>
    <row r="1964" spans="1:10" x14ac:dyDescent="0.25">
      <c r="A1964" t="s">
        <v>274</v>
      </c>
      <c r="B1964" t="s">
        <v>275</v>
      </c>
      <c r="C1964" t="s">
        <v>26</v>
      </c>
      <c r="D1964" t="s">
        <v>27</v>
      </c>
      <c r="E1964">
        <v>11.1</v>
      </c>
      <c r="J1964">
        <f t="shared" si="30"/>
        <v>11.1</v>
      </c>
    </row>
    <row r="1965" spans="1:10" x14ac:dyDescent="0.25">
      <c r="A1965" t="s">
        <v>274</v>
      </c>
      <c r="B1965" t="s">
        <v>275</v>
      </c>
      <c r="C1965" t="s">
        <v>28</v>
      </c>
      <c r="D1965" t="s">
        <v>29</v>
      </c>
      <c r="E1965">
        <v>8</v>
      </c>
      <c r="J1965">
        <f t="shared" si="30"/>
        <v>8</v>
      </c>
    </row>
    <row r="1966" spans="1:10" x14ac:dyDescent="0.25">
      <c r="A1966" t="s">
        <v>274</v>
      </c>
      <c r="B1966" t="s">
        <v>275</v>
      </c>
      <c r="C1966" t="s">
        <v>30</v>
      </c>
      <c r="D1966" t="s">
        <v>31</v>
      </c>
      <c r="J1966">
        <f t="shared" si="30"/>
        <v>0</v>
      </c>
    </row>
    <row r="1967" spans="1:10" x14ac:dyDescent="0.25">
      <c r="A1967" t="s">
        <v>274</v>
      </c>
      <c r="B1967" t="s">
        <v>275</v>
      </c>
      <c r="C1967" t="s">
        <v>32</v>
      </c>
      <c r="D1967" t="s">
        <v>33</v>
      </c>
      <c r="E1967">
        <v>9</v>
      </c>
      <c r="F1967">
        <v>9</v>
      </c>
      <c r="G1967">
        <v>9</v>
      </c>
      <c r="H1967">
        <v>9</v>
      </c>
      <c r="I1967">
        <v>9</v>
      </c>
      <c r="J1967">
        <f t="shared" si="30"/>
        <v>9</v>
      </c>
    </row>
    <row r="1968" spans="1:10" x14ac:dyDescent="0.25">
      <c r="A1968" t="s">
        <v>274</v>
      </c>
      <c r="B1968" t="s">
        <v>275</v>
      </c>
      <c r="C1968" t="s">
        <v>34</v>
      </c>
      <c r="D1968" t="s">
        <v>35</v>
      </c>
      <c r="E1968">
        <v>9.0476188659668004</v>
      </c>
      <c r="F1968">
        <v>8.0952377319335902</v>
      </c>
      <c r="G1968">
        <v>6.6666665077209499</v>
      </c>
      <c r="H1968">
        <v>6.1320753097534197</v>
      </c>
      <c r="I1968">
        <v>7.5471696853637704</v>
      </c>
      <c r="J1968">
        <f t="shared" si="30"/>
        <v>9.0476188659668004</v>
      </c>
    </row>
    <row r="1969" spans="1:10" x14ac:dyDescent="0.25">
      <c r="A1969" t="s">
        <v>274</v>
      </c>
      <c r="B1969" t="s">
        <v>275</v>
      </c>
      <c r="C1969" t="s">
        <v>36</v>
      </c>
      <c r="D1969" t="s">
        <v>37</v>
      </c>
      <c r="J1969">
        <f t="shared" si="30"/>
        <v>0</v>
      </c>
    </row>
    <row r="1970" spans="1:10" x14ac:dyDescent="0.25">
      <c r="A1970" t="s">
        <v>274</v>
      </c>
      <c r="B1970" t="s">
        <v>275</v>
      </c>
      <c r="C1970" t="s">
        <v>38</v>
      </c>
      <c r="D1970" t="s">
        <v>39</v>
      </c>
      <c r="J1970">
        <f t="shared" si="30"/>
        <v>0</v>
      </c>
    </row>
    <row r="1971" spans="1:10" x14ac:dyDescent="0.25">
      <c r="A1971" t="s">
        <v>274</v>
      </c>
      <c r="B1971" t="s">
        <v>275</v>
      </c>
      <c r="C1971" t="s">
        <v>40</v>
      </c>
      <c r="D1971" t="s">
        <v>41</v>
      </c>
      <c r="E1971">
        <v>80.126784000000001</v>
      </c>
      <c r="F1971">
        <v>76.210536000000005</v>
      </c>
      <c r="G1971">
        <v>77.360872000000001</v>
      </c>
      <c r="H1971">
        <v>81.096016000000006</v>
      </c>
      <c r="J1971">
        <f t="shared" si="30"/>
        <v>81.096016000000006</v>
      </c>
    </row>
    <row r="1972" spans="1:10" x14ac:dyDescent="0.25">
      <c r="A1972" t="s">
        <v>274</v>
      </c>
      <c r="B1972" t="s">
        <v>275</v>
      </c>
      <c r="C1972" t="s">
        <v>42</v>
      </c>
      <c r="D1972" t="s">
        <v>43</v>
      </c>
      <c r="J1972">
        <f t="shared" si="30"/>
        <v>0</v>
      </c>
    </row>
    <row r="1973" spans="1:10" x14ac:dyDescent="0.25">
      <c r="A1973" t="s">
        <v>274</v>
      </c>
      <c r="B1973" t="s">
        <v>275</v>
      </c>
      <c r="C1973" t="s">
        <v>44</v>
      </c>
      <c r="D1973" t="s">
        <v>45</v>
      </c>
      <c r="E1973">
        <v>7</v>
      </c>
      <c r="J1973">
        <f t="shared" si="30"/>
        <v>7</v>
      </c>
    </row>
    <row r="1974" spans="1:10" x14ac:dyDescent="0.25">
      <c r="A1974" t="s">
        <v>276</v>
      </c>
      <c r="B1974" t="s">
        <v>277</v>
      </c>
      <c r="C1974" t="s">
        <v>11</v>
      </c>
      <c r="D1974" t="s">
        <v>12</v>
      </c>
      <c r="G1974">
        <v>95.58</v>
      </c>
      <c r="J1974">
        <f t="shared" si="30"/>
        <v>95.58</v>
      </c>
    </row>
    <row r="1975" spans="1:10" x14ac:dyDescent="0.25">
      <c r="A1975" t="s">
        <v>276</v>
      </c>
      <c r="B1975" t="s">
        <v>277</v>
      </c>
      <c r="C1975" t="s">
        <v>14</v>
      </c>
      <c r="D1975" t="s">
        <v>15</v>
      </c>
      <c r="G1975">
        <v>92.7</v>
      </c>
      <c r="J1975">
        <f t="shared" si="30"/>
        <v>92.7</v>
      </c>
    </row>
    <row r="1976" spans="1:10" x14ac:dyDescent="0.25">
      <c r="A1976" t="s">
        <v>276</v>
      </c>
      <c r="B1976" t="s">
        <v>277</v>
      </c>
      <c r="C1976" t="s">
        <v>16</v>
      </c>
      <c r="D1976" t="s">
        <v>17</v>
      </c>
      <c r="G1976">
        <v>98.61</v>
      </c>
      <c r="J1976">
        <f t="shared" si="30"/>
        <v>98.61</v>
      </c>
    </row>
    <row r="1977" spans="1:10" x14ac:dyDescent="0.25">
      <c r="A1977" t="s">
        <v>276</v>
      </c>
      <c r="B1977" t="s">
        <v>277</v>
      </c>
      <c r="C1977" t="s">
        <v>18</v>
      </c>
      <c r="D1977" t="s">
        <v>19</v>
      </c>
      <c r="G1977">
        <v>97.68</v>
      </c>
      <c r="J1977">
        <f t="shared" si="30"/>
        <v>97.68</v>
      </c>
    </row>
    <row r="1978" spans="1:10" x14ac:dyDescent="0.25">
      <c r="A1978" t="s">
        <v>276</v>
      </c>
      <c r="B1978" t="s">
        <v>277</v>
      </c>
      <c r="C1978" t="s">
        <v>20</v>
      </c>
      <c r="D1978" t="s">
        <v>21</v>
      </c>
      <c r="G1978">
        <v>97</v>
      </c>
      <c r="J1978">
        <f t="shared" si="30"/>
        <v>97</v>
      </c>
    </row>
    <row r="1979" spans="1:10" x14ac:dyDescent="0.25">
      <c r="A1979" t="s">
        <v>276</v>
      </c>
      <c r="B1979" t="s">
        <v>277</v>
      </c>
      <c r="C1979" t="s">
        <v>22</v>
      </c>
      <c r="D1979" t="s">
        <v>23</v>
      </c>
      <c r="G1979">
        <v>93.47</v>
      </c>
      <c r="J1979">
        <f t="shared" si="30"/>
        <v>93.47</v>
      </c>
    </row>
    <row r="1980" spans="1:10" x14ac:dyDescent="0.25">
      <c r="A1980" t="s">
        <v>276</v>
      </c>
      <c r="B1980" t="s">
        <v>277</v>
      </c>
      <c r="C1980" t="s">
        <v>24</v>
      </c>
      <c r="D1980" t="s">
        <v>25</v>
      </c>
      <c r="J1980">
        <f t="shared" si="30"/>
        <v>0</v>
      </c>
    </row>
    <row r="1981" spans="1:10" x14ac:dyDescent="0.25">
      <c r="A1981" t="s">
        <v>276</v>
      </c>
      <c r="B1981" t="s">
        <v>277</v>
      </c>
      <c r="C1981" t="s">
        <v>26</v>
      </c>
      <c r="D1981" t="s">
        <v>27</v>
      </c>
      <c r="J1981">
        <f t="shared" si="30"/>
        <v>0</v>
      </c>
    </row>
    <row r="1982" spans="1:10" x14ac:dyDescent="0.25">
      <c r="A1982" t="s">
        <v>276</v>
      </c>
      <c r="B1982" t="s">
        <v>277</v>
      </c>
      <c r="C1982" t="s">
        <v>28</v>
      </c>
      <c r="D1982" t="s">
        <v>29</v>
      </c>
      <c r="E1982">
        <v>10</v>
      </c>
      <c r="J1982">
        <f t="shared" si="30"/>
        <v>10</v>
      </c>
    </row>
    <row r="1983" spans="1:10" x14ac:dyDescent="0.25">
      <c r="A1983" t="s">
        <v>276</v>
      </c>
      <c r="B1983" t="s">
        <v>277</v>
      </c>
      <c r="C1983" t="s">
        <v>30</v>
      </c>
      <c r="D1983" t="s">
        <v>31</v>
      </c>
      <c r="E1983">
        <v>38.627705594127903</v>
      </c>
      <c r="F1983">
        <v>50.322781499941499</v>
      </c>
      <c r="G1983">
        <v>58.504308615482799</v>
      </c>
      <c r="H1983">
        <v>60.349857679372498</v>
      </c>
      <c r="I1983">
        <v>61.235648256074398</v>
      </c>
      <c r="J1983">
        <f t="shared" si="30"/>
        <v>61.235648256074398</v>
      </c>
    </row>
    <row r="1984" spans="1:10" x14ac:dyDescent="0.25">
      <c r="A1984" t="s">
        <v>276</v>
      </c>
      <c r="B1984" t="s">
        <v>277</v>
      </c>
      <c r="C1984" t="s">
        <v>32</v>
      </c>
      <c r="D1984" t="s">
        <v>33</v>
      </c>
      <c r="E1984">
        <v>9</v>
      </c>
      <c r="F1984">
        <v>9</v>
      </c>
      <c r="G1984">
        <v>9</v>
      </c>
      <c r="H1984">
        <v>9</v>
      </c>
      <c r="I1984">
        <v>9</v>
      </c>
      <c r="J1984">
        <f t="shared" si="30"/>
        <v>9</v>
      </c>
    </row>
    <row r="1985" spans="1:10" x14ac:dyDescent="0.25">
      <c r="A1985" t="s">
        <v>276</v>
      </c>
      <c r="B1985" t="s">
        <v>277</v>
      </c>
      <c r="C1985" t="s">
        <v>34</v>
      </c>
      <c r="D1985" t="s">
        <v>35</v>
      </c>
      <c r="E1985">
        <v>35.714286804199197</v>
      </c>
      <c r="F1985">
        <v>35.238094329833999</v>
      </c>
      <c r="G1985">
        <v>34.761905670166001</v>
      </c>
      <c r="H1985">
        <v>35.849056243896499</v>
      </c>
      <c r="I1985">
        <v>35.849056243896499</v>
      </c>
      <c r="J1985">
        <f t="shared" si="30"/>
        <v>35.849056243896499</v>
      </c>
    </row>
    <row r="1986" spans="1:10" x14ac:dyDescent="0.25">
      <c r="A1986" t="s">
        <v>276</v>
      </c>
      <c r="B1986" t="s">
        <v>277</v>
      </c>
      <c r="C1986" t="s">
        <v>36</v>
      </c>
      <c r="D1986" t="s">
        <v>37</v>
      </c>
      <c r="E1986">
        <v>77.210040268291706</v>
      </c>
      <c r="J1986">
        <f t="shared" si="30"/>
        <v>77.210040268291706</v>
      </c>
    </row>
    <row r="1987" spans="1:10" x14ac:dyDescent="0.25">
      <c r="A1987" t="s">
        <v>276</v>
      </c>
      <c r="B1987" t="s">
        <v>277</v>
      </c>
      <c r="C1987" t="s">
        <v>38</v>
      </c>
      <c r="D1987" t="s">
        <v>39</v>
      </c>
      <c r="E1987">
        <v>11.049456316854</v>
      </c>
      <c r="J1987">
        <f t="shared" ref="J1987:J2050" si="31">MAX(E1987:I1987)</f>
        <v>11.049456316854</v>
      </c>
    </row>
    <row r="1988" spans="1:10" x14ac:dyDescent="0.25">
      <c r="A1988" t="s">
        <v>276</v>
      </c>
      <c r="B1988" t="s">
        <v>277</v>
      </c>
      <c r="C1988" t="s">
        <v>40</v>
      </c>
      <c r="D1988" t="s">
        <v>41</v>
      </c>
      <c r="E1988">
        <v>87.259511000000003</v>
      </c>
      <c r="F1988">
        <v>87.415165999999999</v>
      </c>
      <c r="G1988">
        <v>87.878264999999999</v>
      </c>
      <c r="H1988">
        <v>84.821608999999995</v>
      </c>
      <c r="J1988">
        <f t="shared" si="31"/>
        <v>87.878264999999999</v>
      </c>
    </row>
    <row r="1989" spans="1:10" x14ac:dyDescent="0.25">
      <c r="A1989" t="s">
        <v>276</v>
      </c>
      <c r="B1989" t="s">
        <v>277</v>
      </c>
      <c r="C1989" t="s">
        <v>42</v>
      </c>
      <c r="D1989" t="s">
        <v>43</v>
      </c>
      <c r="J1989">
        <f t="shared" si="31"/>
        <v>0</v>
      </c>
    </row>
    <row r="1990" spans="1:10" x14ac:dyDescent="0.25">
      <c r="A1990" t="s">
        <v>276</v>
      </c>
      <c r="B1990" t="s">
        <v>277</v>
      </c>
      <c r="C1990" t="s">
        <v>44</v>
      </c>
      <c r="D1990" t="s">
        <v>45</v>
      </c>
      <c r="E1990">
        <v>6</v>
      </c>
      <c r="J1990">
        <f t="shared" si="31"/>
        <v>6</v>
      </c>
    </row>
    <row r="1991" spans="1:10" x14ac:dyDescent="0.25">
      <c r="A1991" t="s">
        <v>278</v>
      </c>
      <c r="B1991" t="s">
        <v>279</v>
      </c>
      <c r="C1991" t="s">
        <v>11</v>
      </c>
      <c r="D1991" t="s">
        <v>12</v>
      </c>
      <c r="G1991">
        <v>52.43</v>
      </c>
      <c r="J1991">
        <f t="shared" si="31"/>
        <v>52.43</v>
      </c>
    </row>
    <row r="1992" spans="1:10" x14ac:dyDescent="0.25">
      <c r="A1992" t="s">
        <v>278</v>
      </c>
      <c r="B1992" t="s">
        <v>279</v>
      </c>
      <c r="C1992" t="s">
        <v>14</v>
      </c>
      <c r="D1992" t="s">
        <v>15</v>
      </c>
      <c r="G1992">
        <v>46.03</v>
      </c>
      <c r="J1992">
        <f t="shared" si="31"/>
        <v>46.03</v>
      </c>
    </row>
    <row r="1993" spans="1:10" x14ac:dyDescent="0.25">
      <c r="A1993" t="s">
        <v>278</v>
      </c>
      <c r="B1993" t="s">
        <v>279</v>
      </c>
      <c r="C1993" t="s">
        <v>16</v>
      </c>
      <c r="D1993" t="s">
        <v>17</v>
      </c>
      <c r="G1993">
        <v>59.37</v>
      </c>
      <c r="J1993">
        <f t="shared" si="31"/>
        <v>59.37</v>
      </c>
    </row>
    <row r="1994" spans="1:10" x14ac:dyDescent="0.25">
      <c r="A1994" t="s">
        <v>278</v>
      </c>
      <c r="B1994" t="s">
        <v>279</v>
      </c>
      <c r="C1994" t="s">
        <v>18</v>
      </c>
      <c r="D1994" t="s">
        <v>19</v>
      </c>
      <c r="G1994">
        <v>39.020000000000003</v>
      </c>
      <c r="J1994">
        <f t="shared" si="31"/>
        <v>39.020000000000003</v>
      </c>
    </row>
    <row r="1995" spans="1:10" x14ac:dyDescent="0.25">
      <c r="A1995" t="s">
        <v>278</v>
      </c>
      <c r="B1995" t="s">
        <v>279</v>
      </c>
      <c r="C1995" t="s">
        <v>20</v>
      </c>
      <c r="D1995" t="s">
        <v>21</v>
      </c>
      <c r="G1995">
        <v>49.9</v>
      </c>
      <c r="J1995">
        <f t="shared" si="31"/>
        <v>49.9</v>
      </c>
    </row>
    <row r="1996" spans="1:10" x14ac:dyDescent="0.25">
      <c r="A1996" t="s">
        <v>278</v>
      </c>
      <c r="B1996" t="s">
        <v>279</v>
      </c>
      <c r="C1996" t="s">
        <v>22</v>
      </c>
      <c r="D1996" t="s">
        <v>23</v>
      </c>
      <c r="G1996">
        <v>46.7</v>
      </c>
      <c r="J1996">
        <f t="shared" si="31"/>
        <v>46.7</v>
      </c>
    </row>
    <row r="1997" spans="1:10" x14ac:dyDescent="0.25">
      <c r="A1997" t="s">
        <v>278</v>
      </c>
      <c r="B1997" t="s">
        <v>279</v>
      </c>
      <c r="C1997" t="s">
        <v>24</v>
      </c>
      <c r="D1997" t="s">
        <v>25</v>
      </c>
      <c r="J1997">
        <f t="shared" si="31"/>
        <v>0</v>
      </c>
    </row>
    <row r="1998" spans="1:10" x14ac:dyDescent="0.25">
      <c r="A1998" t="s">
        <v>278</v>
      </c>
      <c r="B1998" t="s">
        <v>279</v>
      </c>
      <c r="C1998" t="s">
        <v>26</v>
      </c>
      <c r="D1998" t="s">
        <v>27</v>
      </c>
      <c r="I1998">
        <v>6.9</v>
      </c>
      <c r="J1998">
        <f t="shared" si="31"/>
        <v>6.9</v>
      </c>
    </row>
    <row r="1999" spans="1:10" x14ac:dyDescent="0.25">
      <c r="A1999" t="s">
        <v>278</v>
      </c>
      <c r="B1999" t="s">
        <v>279</v>
      </c>
      <c r="C1999" t="s">
        <v>28</v>
      </c>
      <c r="D1999" t="s">
        <v>29</v>
      </c>
      <c r="E1999">
        <v>2</v>
      </c>
      <c r="J1999">
        <f t="shared" si="31"/>
        <v>2</v>
      </c>
    </row>
    <row r="2000" spans="1:10" x14ac:dyDescent="0.25">
      <c r="A2000" t="s">
        <v>278</v>
      </c>
      <c r="B2000" t="s">
        <v>279</v>
      </c>
      <c r="C2000" t="s">
        <v>30</v>
      </c>
      <c r="D2000" t="s">
        <v>31</v>
      </c>
      <c r="J2000">
        <f t="shared" si="31"/>
        <v>0</v>
      </c>
    </row>
    <row r="2001" spans="1:10" x14ac:dyDescent="0.25">
      <c r="A2001" t="s">
        <v>278</v>
      </c>
      <c r="B2001" t="s">
        <v>279</v>
      </c>
      <c r="C2001" t="s">
        <v>32</v>
      </c>
      <c r="D2001" t="s">
        <v>33</v>
      </c>
      <c r="E2001">
        <v>7</v>
      </c>
      <c r="F2001">
        <v>7</v>
      </c>
      <c r="G2001">
        <v>7</v>
      </c>
      <c r="H2001">
        <v>7</v>
      </c>
      <c r="I2001">
        <v>7</v>
      </c>
      <c r="J2001">
        <f t="shared" si="31"/>
        <v>7</v>
      </c>
    </row>
    <row r="2002" spans="1:10" x14ac:dyDescent="0.25">
      <c r="A2002" t="s">
        <v>278</v>
      </c>
      <c r="B2002" t="s">
        <v>279</v>
      </c>
      <c r="C2002" t="s">
        <v>34</v>
      </c>
      <c r="D2002" t="s">
        <v>35</v>
      </c>
      <c r="E2002">
        <v>38.5714302062988</v>
      </c>
      <c r="F2002">
        <v>39.047618865966797</v>
      </c>
      <c r="G2002">
        <v>40.476188659667997</v>
      </c>
      <c r="H2002">
        <v>41.981132507324197</v>
      </c>
      <c r="I2002">
        <v>43.867923736572301</v>
      </c>
      <c r="J2002">
        <f t="shared" si="31"/>
        <v>43.867923736572301</v>
      </c>
    </row>
    <row r="2003" spans="1:10" x14ac:dyDescent="0.25">
      <c r="A2003" t="s">
        <v>278</v>
      </c>
      <c r="B2003" t="s">
        <v>279</v>
      </c>
      <c r="C2003" t="s">
        <v>36</v>
      </c>
      <c r="D2003" t="s">
        <v>37</v>
      </c>
      <c r="J2003">
        <f t="shared" si="31"/>
        <v>0</v>
      </c>
    </row>
    <row r="2004" spans="1:10" x14ac:dyDescent="0.25">
      <c r="A2004" t="s">
        <v>278</v>
      </c>
      <c r="B2004" t="s">
        <v>279</v>
      </c>
      <c r="C2004" t="s">
        <v>38</v>
      </c>
      <c r="D2004" t="s">
        <v>39</v>
      </c>
      <c r="J2004">
        <f t="shared" si="31"/>
        <v>0</v>
      </c>
    </row>
    <row r="2005" spans="1:10" x14ac:dyDescent="0.25">
      <c r="A2005" t="s">
        <v>278</v>
      </c>
      <c r="B2005" t="s">
        <v>279</v>
      </c>
      <c r="C2005" t="s">
        <v>40</v>
      </c>
      <c r="D2005" t="s">
        <v>41</v>
      </c>
      <c r="E2005">
        <v>68.461364000000003</v>
      </c>
      <c r="F2005">
        <v>70.356630999999993</v>
      </c>
      <c r="G2005">
        <v>68.342314000000002</v>
      </c>
      <c r="H2005">
        <v>69.256505000000004</v>
      </c>
      <c r="J2005">
        <f t="shared" si="31"/>
        <v>70.356630999999993</v>
      </c>
    </row>
    <row r="2006" spans="1:10" x14ac:dyDescent="0.25">
      <c r="A2006" t="s">
        <v>278</v>
      </c>
      <c r="B2006" t="s">
        <v>279</v>
      </c>
      <c r="C2006" t="s">
        <v>42</v>
      </c>
      <c r="D2006" t="s">
        <v>43</v>
      </c>
      <c r="J2006">
        <f t="shared" si="31"/>
        <v>0</v>
      </c>
    </row>
    <row r="2007" spans="1:10" x14ac:dyDescent="0.25">
      <c r="A2007" t="s">
        <v>278</v>
      </c>
      <c r="B2007" t="s">
        <v>279</v>
      </c>
      <c r="C2007" t="s">
        <v>44</v>
      </c>
      <c r="D2007" t="s">
        <v>45</v>
      </c>
      <c r="E2007">
        <v>29.5</v>
      </c>
      <c r="J2007">
        <f t="shared" si="31"/>
        <v>29.5</v>
      </c>
    </row>
    <row r="2008" spans="1:10" x14ac:dyDescent="0.25">
      <c r="A2008" t="s">
        <v>280</v>
      </c>
      <c r="B2008" t="s">
        <v>281</v>
      </c>
      <c r="C2008" t="s">
        <v>11</v>
      </c>
      <c r="D2008" t="s">
        <v>12</v>
      </c>
      <c r="J2008">
        <f t="shared" si="31"/>
        <v>0</v>
      </c>
    </row>
    <row r="2009" spans="1:10" x14ac:dyDescent="0.25">
      <c r="A2009" t="s">
        <v>280</v>
      </c>
      <c r="B2009" t="s">
        <v>281</v>
      </c>
      <c r="C2009" t="s">
        <v>14</v>
      </c>
      <c r="D2009" t="s">
        <v>15</v>
      </c>
      <c r="J2009">
        <f t="shared" si="31"/>
        <v>0</v>
      </c>
    </row>
    <row r="2010" spans="1:10" x14ac:dyDescent="0.25">
      <c r="A2010" t="s">
        <v>280</v>
      </c>
      <c r="B2010" t="s">
        <v>281</v>
      </c>
      <c r="C2010" t="s">
        <v>16</v>
      </c>
      <c r="D2010" t="s">
        <v>17</v>
      </c>
      <c r="J2010">
        <f t="shared" si="31"/>
        <v>0</v>
      </c>
    </row>
    <row r="2011" spans="1:10" x14ac:dyDescent="0.25">
      <c r="A2011" t="s">
        <v>280</v>
      </c>
      <c r="B2011" t="s">
        <v>281</v>
      </c>
      <c r="C2011" t="s">
        <v>18</v>
      </c>
      <c r="D2011" t="s">
        <v>19</v>
      </c>
      <c r="J2011">
        <f t="shared" si="31"/>
        <v>0</v>
      </c>
    </row>
    <row r="2012" spans="1:10" x14ac:dyDescent="0.25">
      <c r="A2012" t="s">
        <v>280</v>
      </c>
      <c r="B2012" t="s">
        <v>281</v>
      </c>
      <c r="C2012" t="s">
        <v>20</v>
      </c>
      <c r="D2012" t="s">
        <v>21</v>
      </c>
      <c r="J2012">
        <f t="shared" si="31"/>
        <v>0</v>
      </c>
    </row>
    <row r="2013" spans="1:10" x14ac:dyDescent="0.25">
      <c r="A2013" t="s">
        <v>280</v>
      </c>
      <c r="B2013" t="s">
        <v>281</v>
      </c>
      <c r="C2013" t="s">
        <v>22</v>
      </c>
      <c r="D2013" t="s">
        <v>23</v>
      </c>
      <c r="J2013">
        <f t="shared" si="31"/>
        <v>0</v>
      </c>
    </row>
    <row r="2014" spans="1:10" x14ac:dyDescent="0.25">
      <c r="A2014" t="s">
        <v>280</v>
      </c>
      <c r="B2014" t="s">
        <v>281</v>
      </c>
      <c r="C2014" t="s">
        <v>24</v>
      </c>
      <c r="D2014" t="s">
        <v>25</v>
      </c>
      <c r="J2014">
        <f t="shared" si="31"/>
        <v>0</v>
      </c>
    </row>
    <row r="2015" spans="1:10" x14ac:dyDescent="0.25">
      <c r="A2015" t="s">
        <v>280</v>
      </c>
      <c r="B2015" t="s">
        <v>281</v>
      </c>
      <c r="C2015" t="s">
        <v>26</v>
      </c>
      <c r="D2015" t="s">
        <v>27</v>
      </c>
      <c r="J2015">
        <f t="shared" si="31"/>
        <v>0</v>
      </c>
    </row>
    <row r="2016" spans="1:10" x14ac:dyDescent="0.25">
      <c r="A2016" t="s">
        <v>280</v>
      </c>
      <c r="B2016" t="s">
        <v>281</v>
      </c>
      <c r="C2016" t="s">
        <v>28</v>
      </c>
      <c r="D2016" t="s">
        <v>29</v>
      </c>
      <c r="E2016">
        <v>4</v>
      </c>
      <c r="J2016">
        <f t="shared" si="31"/>
        <v>4</v>
      </c>
    </row>
    <row r="2017" spans="1:10" x14ac:dyDescent="0.25">
      <c r="A2017" t="s">
        <v>280</v>
      </c>
      <c r="B2017" t="s">
        <v>281</v>
      </c>
      <c r="C2017" t="s">
        <v>30</v>
      </c>
      <c r="D2017" t="s">
        <v>31</v>
      </c>
      <c r="J2017">
        <f t="shared" si="31"/>
        <v>0</v>
      </c>
    </row>
    <row r="2018" spans="1:10" x14ac:dyDescent="0.25">
      <c r="A2018" t="s">
        <v>280</v>
      </c>
      <c r="B2018" t="s">
        <v>281</v>
      </c>
      <c r="C2018" t="s">
        <v>32</v>
      </c>
      <c r="D2018" t="s">
        <v>33</v>
      </c>
      <c r="E2018">
        <v>7</v>
      </c>
      <c r="F2018">
        <v>7</v>
      </c>
      <c r="G2018">
        <v>7</v>
      </c>
      <c r="H2018">
        <v>7</v>
      </c>
      <c r="I2018">
        <v>7</v>
      </c>
      <c r="J2018">
        <f t="shared" si="31"/>
        <v>7</v>
      </c>
    </row>
    <row r="2019" spans="1:10" x14ac:dyDescent="0.25">
      <c r="A2019" t="s">
        <v>280</v>
      </c>
      <c r="B2019" t="s">
        <v>281</v>
      </c>
      <c r="C2019" t="s">
        <v>34</v>
      </c>
      <c r="D2019" t="s">
        <v>35</v>
      </c>
      <c r="E2019">
        <v>46.666667938232401</v>
      </c>
      <c r="F2019">
        <v>48.095237731933601</v>
      </c>
      <c r="G2019">
        <v>46.190475463867202</v>
      </c>
      <c r="H2019">
        <v>40.566036224365199</v>
      </c>
      <c r="I2019">
        <v>41.037734985351598</v>
      </c>
      <c r="J2019">
        <f t="shared" si="31"/>
        <v>48.095237731933601</v>
      </c>
    </row>
    <row r="2020" spans="1:10" x14ac:dyDescent="0.25">
      <c r="A2020" t="s">
        <v>280</v>
      </c>
      <c r="B2020" t="s">
        <v>281</v>
      </c>
      <c r="C2020" t="s">
        <v>36</v>
      </c>
      <c r="D2020" t="s">
        <v>37</v>
      </c>
      <c r="J2020">
        <f t="shared" si="31"/>
        <v>0</v>
      </c>
    </row>
    <row r="2021" spans="1:10" x14ac:dyDescent="0.25">
      <c r="A2021" t="s">
        <v>280</v>
      </c>
      <c r="B2021" t="s">
        <v>281</v>
      </c>
      <c r="C2021" t="s">
        <v>38</v>
      </c>
      <c r="D2021" t="s">
        <v>39</v>
      </c>
      <c r="J2021">
        <f t="shared" si="31"/>
        <v>0</v>
      </c>
    </row>
    <row r="2022" spans="1:10" x14ac:dyDescent="0.25">
      <c r="A2022" t="s">
        <v>280</v>
      </c>
      <c r="B2022" t="s">
        <v>281</v>
      </c>
      <c r="C2022" t="s">
        <v>40</v>
      </c>
      <c r="D2022" t="s">
        <v>41</v>
      </c>
      <c r="E2022">
        <v>82.612503000000004</v>
      </c>
      <c r="F2022">
        <v>82.586440999999994</v>
      </c>
      <c r="G2022">
        <v>79.457661999999999</v>
      </c>
      <c r="H2022">
        <v>83.336843000000002</v>
      </c>
      <c r="J2022">
        <f t="shared" si="31"/>
        <v>83.336843000000002</v>
      </c>
    </row>
    <row r="2023" spans="1:10" x14ac:dyDescent="0.25">
      <c r="A2023" t="s">
        <v>280</v>
      </c>
      <c r="B2023" t="s">
        <v>281</v>
      </c>
      <c r="C2023" t="s">
        <v>42</v>
      </c>
      <c r="D2023" t="s">
        <v>43</v>
      </c>
      <c r="J2023">
        <f t="shared" si="31"/>
        <v>0</v>
      </c>
    </row>
    <row r="2024" spans="1:10" x14ac:dyDescent="0.25">
      <c r="A2024" t="s">
        <v>280</v>
      </c>
      <c r="B2024" t="s">
        <v>281</v>
      </c>
      <c r="C2024" t="s">
        <v>44</v>
      </c>
      <c r="D2024" t="s">
        <v>45</v>
      </c>
      <c r="E2024">
        <v>10.5</v>
      </c>
      <c r="J2024">
        <f t="shared" si="31"/>
        <v>10.5</v>
      </c>
    </row>
    <row r="2025" spans="1:10" x14ac:dyDescent="0.25">
      <c r="A2025" t="s">
        <v>282</v>
      </c>
      <c r="B2025" t="s">
        <v>283</v>
      </c>
      <c r="C2025" t="s">
        <v>11</v>
      </c>
      <c r="D2025" t="s">
        <v>12</v>
      </c>
      <c r="G2025">
        <v>36.85</v>
      </c>
      <c r="J2025">
        <f t="shared" si="31"/>
        <v>36.85</v>
      </c>
    </row>
    <row r="2026" spans="1:10" x14ac:dyDescent="0.25">
      <c r="A2026" t="s">
        <v>282</v>
      </c>
      <c r="B2026" t="s">
        <v>283</v>
      </c>
      <c r="C2026" t="s">
        <v>14</v>
      </c>
      <c r="D2026" t="s">
        <v>15</v>
      </c>
      <c r="G2026">
        <v>28.75</v>
      </c>
      <c r="J2026">
        <f t="shared" si="31"/>
        <v>28.75</v>
      </c>
    </row>
    <row r="2027" spans="1:10" x14ac:dyDescent="0.25">
      <c r="A2027" t="s">
        <v>282</v>
      </c>
      <c r="B2027" t="s">
        <v>283</v>
      </c>
      <c r="C2027" t="s">
        <v>16</v>
      </c>
      <c r="D2027" t="s">
        <v>17</v>
      </c>
      <c r="G2027">
        <v>45.14</v>
      </c>
      <c r="J2027">
        <f t="shared" si="31"/>
        <v>45.14</v>
      </c>
    </row>
    <row r="2028" spans="1:10" x14ac:dyDescent="0.25">
      <c r="A2028" t="s">
        <v>282</v>
      </c>
      <c r="B2028" t="s">
        <v>283</v>
      </c>
      <c r="C2028" t="s">
        <v>18</v>
      </c>
      <c r="D2028" t="s">
        <v>19</v>
      </c>
      <c r="G2028">
        <v>32.020000000000003</v>
      </c>
      <c r="J2028">
        <f t="shared" si="31"/>
        <v>32.020000000000003</v>
      </c>
    </row>
    <row r="2029" spans="1:10" x14ac:dyDescent="0.25">
      <c r="A2029" t="s">
        <v>282</v>
      </c>
      <c r="B2029" t="s">
        <v>283</v>
      </c>
      <c r="C2029" t="s">
        <v>20</v>
      </c>
      <c r="D2029" t="s">
        <v>21</v>
      </c>
      <c r="G2029">
        <v>24.34</v>
      </c>
      <c r="J2029">
        <f t="shared" si="31"/>
        <v>24.34</v>
      </c>
    </row>
    <row r="2030" spans="1:10" x14ac:dyDescent="0.25">
      <c r="A2030" t="s">
        <v>282</v>
      </c>
      <c r="B2030" t="s">
        <v>283</v>
      </c>
      <c r="C2030" t="s">
        <v>22</v>
      </c>
      <c r="D2030" t="s">
        <v>23</v>
      </c>
      <c r="G2030">
        <v>29.26</v>
      </c>
      <c r="J2030">
        <f t="shared" si="31"/>
        <v>29.26</v>
      </c>
    </row>
    <row r="2031" spans="1:10" x14ac:dyDescent="0.25">
      <c r="A2031" t="s">
        <v>282</v>
      </c>
      <c r="B2031" t="s">
        <v>283</v>
      </c>
      <c r="C2031" t="s">
        <v>24</v>
      </c>
      <c r="D2031" t="s">
        <v>25</v>
      </c>
      <c r="J2031">
        <f t="shared" si="31"/>
        <v>0</v>
      </c>
    </row>
    <row r="2032" spans="1:10" x14ac:dyDescent="0.25">
      <c r="A2032" t="s">
        <v>282</v>
      </c>
      <c r="B2032" t="s">
        <v>283</v>
      </c>
      <c r="C2032" t="s">
        <v>26</v>
      </c>
      <c r="D2032" t="s">
        <v>27</v>
      </c>
      <c r="F2032">
        <v>11.9</v>
      </c>
      <c r="J2032">
        <f t="shared" si="31"/>
        <v>11.9</v>
      </c>
    </row>
    <row r="2033" spans="1:10" x14ac:dyDescent="0.25">
      <c r="A2033" t="s">
        <v>282</v>
      </c>
      <c r="B2033" t="s">
        <v>283</v>
      </c>
      <c r="C2033" t="s">
        <v>28</v>
      </c>
      <c r="D2033" t="s">
        <v>29</v>
      </c>
      <c r="E2033">
        <v>6</v>
      </c>
      <c r="J2033">
        <f t="shared" si="31"/>
        <v>6</v>
      </c>
    </row>
    <row r="2034" spans="1:10" x14ac:dyDescent="0.25">
      <c r="A2034" t="s">
        <v>282</v>
      </c>
      <c r="B2034" t="s">
        <v>283</v>
      </c>
      <c r="C2034" t="s">
        <v>30</v>
      </c>
      <c r="D2034" t="s">
        <v>31</v>
      </c>
      <c r="J2034">
        <f t="shared" si="31"/>
        <v>0</v>
      </c>
    </row>
    <row r="2035" spans="1:10" x14ac:dyDescent="0.25">
      <c r="A2035" t="s">
        <v>282</v>
      </c>
      <c r="B2035" t="s">
        <v>283</v>
      </c>
      <c r="C2035" t="s">
        <v>32</v>
      </c>
      <c r="D2035" t="s">
        <v>33</v>
      </c>
      <c r="E2035">
        <v>9</v>
      </c>
      <c r="F2035">
        <v>9</v>
      </c>
      <c r="G2035">
        <v>9</v>
      </c>
      <c r="H2035">
        <v>9</v>
      </c>
      <c r="I2035">
        <v>9</v>
      </c>
      <c r="J2035">
        <f t="shared" si="31"/>
        <v>9</v>
      </c>
    </row>
    <row r="2036" spans="1:10" x14ac:dyDescent="0.25">
      <c r="A2036" t="s">
        <v>282</v>
      </c>
      <c r="B2036" t="s">
        <v>283</v>
      </c>
      <c r="C2036" t="s">
        <v>34</v>
      </c>
      <c r="D2036" t="s">
        <v>35</v>
      </c>
      <c r="E2036">
        <v>50.952381134033203</v>
      </c>
      <c r="F2036">
        <v>50.952381134033203</v>
      </c>
      <c r="G2036">
        <v>46.666667938232401</v>
      </c>
      <c r="H2036">
        <v>45.2830200195312</v>
      </c>
      <c r="I2036">
        <v>42.924530029296903</v>
      </c>
      <c r="J2036">
        <f t="shared" si="31"/>
        <v>50.952381134033203</v>
      </c>
    </row>
    <row r="2037" spans="1:10" x14ac:dyDescent="0.25">
      <c r="A2037" t="s">
        <v>282</v>
      </c>
      <c r="B2037" t="s">
        <v>283</v>
      </c>
      <c r="C2037" t="s">
        <v>36</v>
      </c>
      <c r="D2037" t="s">
        <v>37</v>
      </c>
      <c r="J2037">
        <f t="shared" si="31"/>
        <v>0</v>
      </c>
    </row>
    <row r="2038" spans="1:10" x14ac:dyDescent="0.25">
      <c r="A2038" t="s">
        <v>282</v>
      </c>
      <c r="B2038" t="s">
        <v>283</v>
      </c>
      <c r="C2038" t="s">
        <v>38</v>
      </c>
      <c r="D2038" t="s">
        <v>39</v>
      </c>
      <c r="J2038">
        <f t="shared" si="31"/>
        <v>0</v>
      </c>
    </row>
    <row r="2039" spans="1:10" x14ac:dyDescent="0.25">
      <c r="A2039" t="s">
        <v>282</v>
      </c>
      <c r="B2039" t="s">
        <v>283</v>
      </c>
      <c r="C2039" t="s">
        <v>40</v>
      </c>
      <c r="D2039" t="s">
        <v>41</v>
      </c>
      <c r="E2039">
        <v>88.775682000000003</v>
      </c>
      <c r="F2039">
        <v>88.098056</v>
      </c>
      <c r="G2039">
        <v>85.339398000000003</v>
      </c>
      <c r="H2039">
        <v>89.196151999999998</v>
      </c>
      <c r="J2039">
        <f t="shared" si="31"/>
        <v>89.196151999999998</v>
      </c>
    </row>
    <row r="2040" spans="1:10" x14ac:dyDescent="0.25">
      <c r="A2040" t="s">
        <v>282</v>
      </c>
      <c r="B2040" t="s">
        <v>283</v>
      </c>
      <c r="C2040" t="s">
        <v>42</v>
      </c>
      <c r="D2040" t="s">
        <v>43</v>
      </c>
      <c r="J2040">
        <f t="shared" si="31"/>
        <v>0</v>
      </c>
    </row>
    <row r="2041" spans="1:10" x14ac:dyDescent="0.25">
      <c r="A2041" t="s">
        <v>282</v>
      </c>
      <c r="B2041" t="s">
        <v>283</v>
      </c>
      <c r="C2041" t="s">
        <v>44</v>
      </c>
      <c r="D2041" t="s">
        <v>45</v>
      </c>
      <c r="E2041">
        <v>9</v>
      </c>
      <c r="J2041">
        <f t="shared" si="31"/>
        <v>9</v>
      </c>
    </row>
    <row r="2042" spans="1:10" x14ac:dyDescent="0.25">
      <c r="A2042" t="s">
        <v>284</v>
      </c>
      <c r="B2042" t="s">
        <v>285</v>
      </c>
      <c r="C2042" t="s">
        <v>11</v>
      </c>
      <c r="D2042" t="s">
        <v>12</v>
      </c>
      <c r="G2042">
        <v>65.91</v>
      </c>
      <c r="J2042">
        <f t="shared" si="31"/>
        <v>65.91</v>
      </c>
    </row>
    <row r="2043" spans="1:10" x14ac:dyDescent="0.25">
      <c r="A2043" t="s">
        <v>284</v>
      </c>
      <c r="B2043" t="s">
        <v>285</v>
      </c>
      <c r="C2043" t="s">
        <v>14</v>
      </c>
      <c r="D2043" t="s">
        <v>15</v>
      </c>
      <c r="G2043">
        <v>65.06</v>
      </c>
      <c r="J2043">
        <f t="shared" si="31"/>
        <v>65.06</v>
      </c>
    </row>
    <row r="2044" spans="1:10" x14ac:dyDescent="0.25">
      <c r="A2044" t="s">
        <v>284</v>
      </c>
      <c r="B2044" t="s">
        <v>285</v>
      </c>
      <c r="C2044" t="s">
        <v>16</v>
      </c>
      <c r="D2044" t="s">
        <v>17</v>
      </c>
      <c r="G2044">
        <v>66.88</v>
      </c>
      <c r="J2044">
        <f t="shared" si="31"/>
        <v>66.88</v>
      </c>
    </row>
    <row r="2045" spans="1:10" x14ac:dyDescent="0.25">
      <c r="A2045" t="s">
        <v>284</v>
      </c>
      <c r="B2045" t="s">
        <v>285</v>
      </c>
      <c r="C2045" t="s">
        <v>18</v>
      </c>
      <c r="D2045" t="s">
        <v>19</v>
      </c>
      <c r="G2045">
        <v>51.39</v>
      </c>
      <c r="J2045">
        <f t="shared" si="31"/>
        <v>51.39</v>
      </c>
    </row>
    <row r="2046" spans="1:10" x14ac:dyDescent="0.25">
      <c r="A2046" t="s">
        <v>284</v>
      </c>
      <c r="B2046" t="s">
        <v>285</v>
      </c>
      <c r="C2046" t="s">
        <v>20</v>
      </c>
      <c r="D2046" t="s">
        <v>21</v>
      </c>
      <c r="G2046">
        <v>62.65</v>
      </c>
      <c r="J2046">
        <f t="shared" si="31"/>
        <v>62.65</v>
      </c>
    </row>
    <row r="2047" spans="1:10" x14ac:dyDescent="0.25">
      <c r="A2047" t="s">
        <v>284</v>
      </c>
      <c r="B2047" t="s">
        <v>285</v>
      </c>
      <c r="C2047" t="s">
        <v>22</v>
      </c>
      <c r="D2047" t="s">
        <v>23</v>
      </c>
      <c r="G2047">
        <v>54.26</v>
      </c>
      <c r="J2047">
        <f t="shared" si="31"/>
        <v>54.26</v>
      </c>
    </row>
    <row r="2048" spans="1:10" x14ac:dyDescent="0.25">
      <c r="A2048" t="s">
        <v>284</v>
      </c>
      <c r="B2048" t="s">
        <v>285</v>
      </c>
      <c r="C2048" t="s">
        <v>24</v>
      </c>
      <c r="D2048" t="s">
        <v>25</v>
      </c>
      <c r="J2048">
        <f t="shared" si="31"/>
        <v>0</v>
      </c>
    </row>
    <row r="2049" spans="1:10" x14ac:dyDescent="0.25">
      <c r="A2049" t="s">
        <v>284</v>
      </c>
      <c r="B2049" t="s">
        <v>285</v>
      </c>
      <c r="C2049" t="s">
        <v>26</v>
      </c>
      <c r="D2049" t="s">
        <v>27</v>
      </c>
      <c r="J2049">
        <f t="shared" si="31"/>
        <v>0</v>
      </c>
    </row>
    <row r="2050" spans="1:10" x14ac:dyDescent="0.25">
      <c r="A2050" t="s">
        <v>284</v>
      </c>
      <c r="B2050" t="s">
        <v>285</v>
      </c>
      <c r="C2050" t="s">
        <v>28</v>
      </c>
      <c r="D2050" t="s">
        <v>29</v>
      </c>
      <c r="E2050">
        <v>3</v>
      </c>
      <c r="J2050">
        <f t="shared" si="31"/>
        <v>3</v>
      </c>
    </row>
    <row r="2051" spans="1:10" x14ac:dyDescent="0.25">
      <c r="A2051" t="s">
        <v>284</v>
      </c>
      <c r="B2051" t="s">
        <v>285</v>
      </c>
      <c r="C2051" t="s">
        <v>30</v>
      </c>
      <c r="D2051" t="s">
        <v>31</v>
      </c>
      <c r="E2051">
        <v>38.476945312033102</v>
      </c>
      <c r="F2051">
        <v>44.185914308992402</v>
      </c>
      <c r="G2051">
        <v>51.302662350019602</v>
      </c>
      <c r="H2051">
        <v>53.890283064004002</v>
      </c>
      <c r="J2051">
        <f t="shared" ref="J2051:J2114" si="32">MAX(E2051:I2051)</f>
        <v>53.890283064004002</v>
      </c>
    </row>
    <row r="2052" spans="1:10" x14ac:dyDescent="0.25">
      <c r="A2052" t="s">
        <v>284</v>
      </c>
      <c r="B2052" t="s">
        <v>285</v>
      </c>
      <c r="C2052" t="s">
        <v>32</v>
      </c>
      <c r="D2052" t="s">
        <v>33</v>
      </c>
      <c r="E2052">
        <v>7</v>
      </c>
      <c r="F2052">
        <v>7</v>
      </c>
      <c r="G2052">
        <v>7</v>
      </c>
      <c r="H2052">
        <v>7</v>
      </c>
      <c r="I2052">
        <v>7</v>
      </c>
      <c r="J2052">
        <f t="shared" si="32"/>
        <v>7</v>
      </c>
    </row>
    <row r="2053" spans="1:10" x14ac:dyDescent="0.25">
      <c r="A2053" t="s">
        <v>284</v>
      </c>
      <c r="B2053" t="s">
        <v>285</v>
      </c>
      <c r="C2053" t="s">
        <v>34</v>
      </c>
      <c r="D2053" t="s">
        <v>35</v>
      </c>
      <c r="E2053">
        <v>11.428571701049799</v>
      </c>
      <c r="F2053">
        <v>16.190475463867202</v>
      </c>
      <c r="G2053">
        <v>16.190475463867202</v>
      </c>
      <c r="H2053">
        <v>16.037734985351602</v>
      </c>
      <c r="I2053">
        <v>16.509433746337901</v>
      </c>
      <c r="J2053">
        <f t="shared" si="32"/>
        <v>16.509433746337901</v>
      </c>
    </row>
    <row r="2054" spans="1:10" x14ac:dyDescent="0.25">
      <c r="A2054" t="s">
        <v>284</v>
      </c>
      <c r="B2054" t="s">
        <v>285</v>
      </c>
      <c r="C2054" t="s">
        <v>36</v>
      </c>
      <c r="D2054" t="s">
        <v>37</v>
      </c>
      <c r="J2054">
        <f t="shared" si="32"/>
        <v>0</v>
      </c>
    </row>
    <row r="2055" spans="1:10" x14ac:dyDescent="0.25">
      <c r="A2055" t="s">
        <v>284</v>
      </c>
      <c r="B2055" t="s">
        <v>285</v>
      </c>
      <c r="C2055" t="s">
        <v>38</v>
      </c>
      <c r="D2055" t="s">
        <v>39</v>
      </c>
      <c r="J2055">
        <f t="shared" si="32"/>
        <v>0</v>
      </c>
    </row>
    <row r="2056" spans="1:10" x14ac:dyDescent="0.25">
      <c r="A2056" t="s">
        <v>284</v>
      </c>
      <c r="B2056" t="s">
        <v>285</v>
      </c>
      <c r="C2056" t="s">
        <v>40</v>
      </c>
      <c r="D2056" t="s">
        <v>41</v>
      </c>
      <c r="E2056">
        <v>67.111063999999999</v>
      </c>
      <c r="F2056">
        <v>67.784756999999999</v>
      </c>
      <c r="G2056">
        <v>67.019077999999993</v>
      </c>
      <c r="H2056">
        <v>69.601010000000002</v>
      </c>
      <c r="J2056">
        <f t="shared" si="32"/>
        <v>69.601010000000002</v>
      </c>
    </row>
    <row r="2057" spans="1:10" x14ac:dyDescent="0.25">
      <c r="A2057" t="s">
        <v>284</v>
      </c>
      <c r="B2057" t="s">
        <v>285</v>
      </c>
      <c r="C2057" t="s">
        <v>42</v>
      </c>
      <c r="D2057" t="s">
        <v>43</v>
      </c>
      <c r="J2057">
        <f t="shared" si="32"/>
        <v>0</v>
      </c>
    </row>
    <row r="2058" spans="1:10" x14ac:dyDescent="0.25">
      <c r="A2058" t="s">
        <v>284</v>
      </c>
      <c r="B2058" t="s">
        <v>285</v>
      </c>
      <c r="C2058" t="s">
        <v>44</v>
      </c>
      <c r="D2058" t="s">
        <v>45</v>
      </c>
      <c r="E2058">
        <v>24</v>
      </c>
      <c r="J2058">
        <f t="shared" si="32"/>
        <v>24</v>
      </c>
    </row>
    <row r="2059" spans="1:10" x14ac:dyDescent="0.25">
      <c r="A2059" t="s">
        <v>286</v>
      </c>
      <c r="B2059" t="s">
        <v>287</v>
      </c>
      <c r="C2059" t="s">
        <v>11</v>
      </c>
      <c r="D2059" t="s">
        <v>12</v>
      </c>
      <c r="G2059">
        <v>83.56</v>
      </c>
      <c r="J2059">
        <f t="shared" si="32"/>
        <v>83.56</v>
      </c>
    </row>
    <row r="2060" spans="1:10" x14ac:dyDescent="0.25">
      <c r="A2060" t="s">
        <v>286</v>
      </c>
      <c r="B2060" t="s">
        <v>287</v>
      </c>
      <c r="C2060" t="s">
        <v>14</v>
      </c>
      <c r="D2060" t="s">
        <v>15</v>
      </c>
      <c r="G2060">
        <v>80.69</v>
      </c>
      <c r="J2060">
        <f t="shared" si="32"/>
        <v>80.69</v>
      </c>
    </row>
    <row r="2061" spans="1:10" x14ac:dyDescent="0.25">
      <c r="A2061" t="s">
        <v>286</v>
      </c>
      <c r="B2061" t="s">
        <v>287</v>
      </c>
      <c r="C2061" t="s">
        <v>16</v>
      </c>
      <c r="D2061" t="s">
        <v>17</v>
      </c>
      <c r="G2061">
        <v>87.07</v>
      </c>
      <c r="J2061">
        <f t="shared" si="32"/>
        <v>87.07</v>
      </c>
    </row>
    <row r="2062" spans="1:10" x14ac:dyDescent="0.25">
      <c r="A2062" t="s">
        <v>286</v>
      </c>
      <c r="B2062" t="s">
        <v>287</v>
      </c>
      <c r="C2062" t="s">
        <v>18</v>
      </c>
      <c r="D2062" t="s">
        <v>19</v>
      </c>
      <c r="G2062">
        <v>79.73</v>
      </c>
      <c r="J2062">
        <f t="shared" si="32"/>
        <v>79.73</v>
      </c>
    </row>
    <row r="2063" spans="1:10" x14ac:dyDescent="0.25">
      <c r="A2063" t="s">
        <v>286</v>
      </c>
      <c r="B2063" t="s">
        <v>287</v>
      </c>
      <c r="C2063" t="s">
        <v>20</v>
      </c>
      <c r="D2063" t="s">
        <v>21</v>
      </c>
      <c r="G2063">
        <v>90.89</v>
      </c>
      <c r="J2063">
        <f t="shared" si="32"/>
        <v>90.89</v>
      </c>
    </row>
    <row r="2064" spans="1:10" x14ac:dyDescent="0.25">
      <c r="A2064" t="s">
        <v>286</v>
      </c>
      <c r="B2064" t="s">
        <v>287</v>
      </c>
      <c r="C2064" t="s">
        <v>22</v>
      </c>
      <c r="D2064" t="s">
        <v>23</v>
      </c>
      <c r="G2064">
        <v>44.94</v>
      </c>
      <c r="J2064">
        <f t="shared" si="32"/>
        <v>44.94</v>
      </c>
    </row>
    <row r="2065" spans="1:10" x14ac:dyDescent="0.25">
      <c r="A2065" t="s">
        <v>286</v>
      </c>
      <c r="B2065" t="s">
        <v>287</v>
      </c>
      <c r="C2065" t="s">
        <v>24</v>
      </c>
      <c r="D2065" t="s">
        <v>25</v>
      </c>
      <c r="J2065">
        <f t="shared" si="32"/>
        <v>0</v>
      </c>
    </row>
    <row r="2066" spans="1:10" x14ac:dyDescent="0.25">
      <c r="A2066" t="s">
        <v>286</v>
      </c>
      <c r="B2066" t="s">
        <v>287</v>
      </c>
      <c r="C2066" t="s">
        <v>26</v>
      </c>
      <c r="D2066" t="s">
        <v>27</v>
      </c>
      <c r="E2066">
        <v>37.4</v>
      </c>
      <c r="J2066">
        <f t="shared" si="32"/>
        <v>37.4</v>
      </c>
    </row>
    <row r="2067" spans="1:10" x14ac:dyDescent="0.25">
      <c r="A2067" t="s">
        <v>286</v>
      </c>
      <c r="B2067" t="s">
        <v>287</v>
      </c>
      <c r="C2067" t="s">
        <v>28</v>
      </c>
      <c r="D2067" t="s">
        <v>29</v>
      </c>
      <c r="E2067">
        <v>9</v>
      </c>
      <c r="J2067">
        <f t="shared" si="32"/>
        <v>9</v>
      </c>
    </row>
    <row r="2068" spans="1:10" x14ac:dyDescent="0.25">
      <c r="A2068" t="s">
        <v>286</v>
      </c>
      <c r="B2068" t="s">
        <v>287</v>
      </c>
      <c r="C2068" t="s">
        <v>30</v>
      </c>
      <c r="D2068" t="s">
        <v>31</v>
      </c>
      <c r="E2068">
        <v>48.3272696003568</v>
      </c>
      <c r="F2068">
        <v>58.716185073232602</v>
      </c>
      <c r="J2068">
        <f t="shared" si="32"/>
        <v>58.716185073232602</v>
      </c>
    </row>
    <row r="2069" spans="1:10" x14ac:dyDescent="0.25">
      <c r="A2069" t="s">
        <v>286</v>
      </c>
      <c r="B2069" t="s">
        <v>287</v>
      </c>
      <c r="C2069" t="s">
        <v>32</v>
      </c>
      <c r="D2069" t="s">
        <v>33</v>
      </c>
      <c r="E2069">
        <v>11</v>
      </c>
      <c r="F2069">
        <v>11</v>
      </c>
      <c r="G2069">
        <v>11</v>
      </c>
      <c r="H2069">
        <v>11</v>
      </c>
      <c r="I2069">
        <v>11</v>
      </c>
      <c r="J2069">
        <f t="shared" si="32"/>
        <v>11</v>
      </c>
    </row>
    <row r="2070" spans="1:10" x14ac:dyDescent="0.25">
      <c r="A2070" t="s">
        <v>286</v>
      </c>
      <c r="B2070" t="s">
        <v>287</v>
      </c>
      <c r="C2070" t="s">
        <v>34</v>
      </c>
      <c r="D2070" t="s">
        <v>35</v>
      </c>
      <c r="E2070">
        <v>24.761905670166001</v>
      </c>
      <c r="F2070">
        <v>22.857143402099599</v>
      </c>
      <c r="G2070">
        <v>24.2857151031494</v>
      </c>
      <c r="H2070">
        <v>29.245283126831101</v>
      </c>
      <c r="I2070">
        <v>25.943395614623999</v>
      </c>
      <c r="J2070">
        <f t="shared" si="32"/>
        <v>29.245283126831101</v>
      </c>
    </row>
    <row r="2071" spans="1:10" x14ac:dyDescent="0.25">
      <c r="A2071" t="s">
        <v>286</v>
      </c>
      <c r="B2071" t="s">
        <v>287</v>
      </c>
      <c r="C2071" t="s">
        <v>36</v>
      </c>
      <c r="D2071" t="s">
        <v>37</v>
      </c>
      <c r="F2071">
        <v>36.7526966901492</v>
      </c>
      <c r="J2071">
        <f t="shared" si="32"/>
        <v>36.7526966901492</v>
      </c>
    </row>
    <row r="2072" spans="1:10" x14ac:dyDescent="0.25">
      <c r="A2072" t="s">
        <v>286</v>
      </c>
      <c r="B2072" t="s">
        <v>287</v>
      </c>
      <c r="C2072" t="s">
        <v>38</v>
      </c>
      <c r="D2072" t="s">
        <v>39</v>
      </c>
      <c r="F2072">
        <v>59.606289785485203</v>
      </c>
      <c r="J2072">
        <f t="shared" si="32"/>
        <v>59.606289785485203</v>
      </c>
    </row>
    <row r="2073" spans="1:10" x14ac:dyDescent="0.25">
      <c r="A2073" t="s">
        <v>286</v>
      </c>
      <c r="B2073" t="s">
        <v>287</v>
      </c>
      <c r="C2073" t="s">
        <v>40</v>
      </c>
      <c r="D2073" t="s">
        <v>41</v>
      </c>
      <c r="E2073">
        <v>86.119178000000005</v>
      </c>
      <c r="F2073">
        <v>85.063732000000002</v>
      </c>
      <c r="G2073">
        <v>82.675405999999995</v>
      </c>
      <c r="H2073">
        <v>85.928165000000007</v>
      </c>
      <c r="J2073">
        <f t="shared" si="32"/>
        <v>86.119178000000005</v>
      </c>
    </row>
    <row r="2074" spans="1:10" x14ac:dyDescent="0.25">
      <c r="A2074" t="s">
        <v>286</v>
      </c>
      <c r="B2074" t="s">
        <v>287</v>
      </c>
      <c r="C2074" t="s">
        <v>42</v>
      </c>
      <c r="D2074" t="s">
        <v>43</v>
      </c>
      <c r="J2074">
        <f t="shared" si="32"/>
        <v>0</v>
      </c>
    </row>
    <row r="2075" spans="1:10" x14ac:dyDescent="0.25">
      <c r="A2075" t="s">
        <v>286</v>
      </c>
      <c r="B2075" t="s">
        <v>287</v>
      </c>
      <c r="C2075" t="s">
        <v>44</v>
      </c>
      <c r="D2075" t="s">
        <v>45</v>
      </c>
      <c r="E2075">
        <v>6.5</v>
      </c>
      <c r="J2075">
        <f t="shared" si="32"/>
        <v>6.5</v>
      </c>
    </row>
    <row r="2076" spans="1:10" x14ac:dyDescent="0.25">
      <c r="A2076" t="s">
        <v>288</v>
      </c>
      <c r="B2076" t="s">
        <v>289</v>
      </c>
      <c r="C2076" t="s">
        <v>11</v>
      </c>
      <c r="D2076" t="s">
        <v>12</v>
      </c>
      <c r="G2076">
        <v>85.74</v>
      </c>
      <c r="J2076">
        <f t="shared" si="32"/>
        <v>85.74</v>
      </c>
    </row>
    <row r="2077" spans="1:10" x14ac:dyDescent="0.25">
      <c r="A2077" t="s">
        <v>288</v>
      </c>
      <c r="B2077" t="s">
        <v>289</v>
      </c>
      <c r="C2077" t="s">
        <v>14</v>
      </c>
      <c r="D2077" t="s">
        <v>15</v>
      </c>
      <c r="G2077">
        <v>86.68</v>
      </c>
      <c r="J2077">
        <f t="shared" si="32"/>
        <v>86.68</v>
      </c>
    </row>
    <row r="2078" spans="1:10" x14ac:dyDescent="0.25">
      <c r="A2078" t="s">
        <v>288</v>
      </c>
      <c r="B2078" t="s">
        <v>289</v>
      </c>
      <c r="C2078" t="s">
        <v>16</v>
      </c>
      <c r="D2078" t="s">
        <v>17</v>
      </c>
      <c r="G2078">
        <v>85.39</v>
      </c>
      <c r="J2078">
        <f t="shared" si="32"/>
        <v>85.39</v>
      </c>
    </row>
    <row r="2079" spans="1:10" x14ac:dyDescent="0.25">
      <c r="A2079" t="s">
        <v>288</v>
      </c>
      <c r="B2079" t="s">
        <v>289</v>
      </c>
      <c r="C2079" t="s">
        <v>18</v>
      </c>
      <c r="D2079" t="s">
        <v>19</v>
      </c>
      <c r="G2079">
        <v>83.4</v>
      </c>
      <c r="J2079">
        <f t="shared" si="32"/>
        <v>83.4</v>
      </c>
    </row>
    <row r="2080" spans="1:10" x14ac:dyDescent="0.25">
      <c r="A2080" t="s">
        <v>288</v>
      </c>
      <c r="B2080" t="s">
        <v>289</v>
      </c>
      <c r="C2080" t="s">
        <v>20</v>
      </c>
      <c r="D2080" t="s">
        <v>21</v>
      </c>
      <c r="G2080">
        <v>79.430000000000007</v>
      </c>
      <c r="J2080">
        <f t="shared" si="32"/>
        <v>79.430000000000007</v>
      </c>
    </row>
    <row r="2081" spans="1:10" x14ac:dyDescent="0.25">
      <c r="A2081" t="s">
        <v>288</v>
      </c>
      <c r="B2081" t="s">
        <v>289</v>
      </c>
      <c r="C2081" t="s">
        <v>22</v>
      </c>
      <c r="D2081" t="s">
        <v>23</v>
      </c>
      <c r="G2081">
        <v>75.97</v>
      </c>
      <c r="J2081">
        <f t="shared" si="32"/>
        <v>75.97</v>
      </c>
    </row>
    <row r="2082" spans="1:10" x14ac:dyDescent="0.25">
      <c r="A2082" t="s">
        <v>288</v>
      </c>
      <c r="B2082" t="s">
        <v>289</v>
      </c>
      <c r="C2082" t="s">
        <v>24</v>
      </c>
      <c r="D2082" t="s">
        <v>25</v>
      </c>
      <c r="J2082">
        <f t="shared" si="32"/>
        <v>0</v>
      </c>
    </row>
    <row r="2083" spans="1:10" x14ac:dyDescent="0.25">
      <c r="A2083" t="s">
        <v>288</v>
      </c>
      <c r="B2083" t="s">
        <v>289</v>
      </c>
      <c r="C2083" t="s">
        <v>26</v>
      </c>
      <c r="D2083" t="s">
        <v>27</v>
      </c>
      <c r="J2083">
        <f t="shared" si="32"/>
        <v>0</v>
      </c>
    </row>
    <row r="2084" spans="1:10" x14ac:dyDescent="0.25">
      <c r="A2084" t="s">
        <v>288</v>
      </c>
      <c r="B2084" t="s">
        <v>289</v>
      </c>
      <c r="C2084" t="s">
        <v>28</v>
      </c>
      <c r="D2084" t="s">
        <v>29</v>
      </c>
      <c r="E2084">
        <v>10</v>
      </c>
      <c r="J2084">
        <f t="shared" si="32"/>
        <v>10</v>
      </c>
    </row>
    <row r="2085" spans="1:10" x14ac:dyDescent="0.25">
      <c r="A2085" t="s">
        <v>288</v>
      </c>
      <c r="B2085" t="s">
        <v>289</v>
      </c>
      <c r="C2085" t="s">
        <v>30</v>
      </c>
      <c r="D2085" t="s">
        <v>31</v>
      </c>
      <c r="J2085">
        <f t="shared" si="32"/>
        <v>0</v>
      </c>
    </row>
    <row r="2086" spans="1:10" x14ac:dyDescent="0.25">
      <c r="A2086" t="s">
        <v>288</v>
      </c>
      <c r="B2086" t="s">
        <v>289</v>
      </c>
      <c r="C2086" t="s">
        <v>32</v>
      </c>
      <c r="D2086" t="s">
        <v>33</v>
      </c>
      <c r="E2086">
        <v>12</v>
      </c>
      <c r="F2086">
        <v>12</v>
      </c>
      <c r="G2086">
        <v>12</v>
      </c>
      <c r="H2086">
        <v>12</v>
      </c>
      <c r="I2086">
        <v>12</v>
      </c>
      <c r="J2086">
        <f t="shared" si="32"/>
        <v>12</v>
      </c>
    </row>
    <row r="2087" spans="1:10" x14ac:dyDescent="0.25">
      <c r="A2087" t="s">
        <v>288</v>
      </c>
      <c r="B2087" t="s">
        <v>289</v>
      </c>
      <c r="C2087" t="s">
        <v>34</v>
      </c>
      <c r="D2087" t="s">
        <v>35</v>
      </c>
      <c r="E2087">
        <v>81.904762268066406</v>
      </c>
      <c r="F2087">
        <v>82.380950927734403</v>
      </c>
      <c r="G2087">
        <v>83.333335876464801</v>
      </c>
      <c r="H2087">
        <v>83.490562438964801</v>
      </c>
      <c r="I2087">
        <v>82.547172546386705</v>
      </c>
      <c r="J2087">
        <f t="shared" si="32"/>
        <v>83.490562438964801</v>
      </c>
    </row>
    <row r="2088" spans="1:10" x14ac:dyDescent="0.25">
      <c r="A2088" t="s">
        <v>288</v>
      </c>
      <c r="B2088" t="s">
        <v>289</v>
      </c>
      <c r="C2088" t="s">
        <v>36</v>
      </c>
      <c r="D2088" t="s">
        <v>37</v>
      </c>
      <c r="J2088">
        <f t="shared" si="32"/>
        <v>0</v>
      </c>
    </row>
    <row r="2089" spans="1:10" x14ac:dyDescent="0.25">
      <c r="A2089" t="s">
        <v>288</v>
      </c>
      <c r="B2089" t="s">
        <v>289</v>
      </c>
      <c r="C2089" t="s">
        <v>38</v>
      </c>
      <c r="D2089" t="s">
        <v>39</v>
      </c>
      <c r="J2089">
        <f t="shared" si="32"/>
        <v>0</v>
      </c>
    </row>
    <row r="2090" spans="1:10" x14ac:dyDescent="0.25">
      <c r="A2090" t="s">
        <v>288</v>
      </c>
      <c r="B2090" t="s">
        <v>289</v>
      </c>
      <c r="C2090" t="s">
        <v>40</v>
      </c>
      <c r="D2090" t="s">
        <v>41</v>
      </c>
      <c r="E2090">
        <v>95.993195999999998</v>
      </c>
      <c r="F2090">
        <v>95.579442999999998</v>
      </c>
      <c r="G2090">
        <v>94.619212000000005</v>
      </c>
      <c r="H2090">
        <v>95.309312000000006</v>
      </c>
      <c r="J2090">
        <f t="shared" si="32"/>
        <v>95.993195999999998</v>
      </c>
    </row>
    <row r="2091" spans="1:10" x14ac:dyDescent="0.25">
      <c r="A2091" t="s">
        <v>288</v>
      </c>
      <c r="B2091" t="s">
        <v>289</v>
      </c>
      <c r="C2091" t="s">
        <v>42</v>
      </c>
      <c r="D2091" t="s">
        <v>43</v>
      </c>
      <c r="J2091">
        <f t="shared" si="32"/>
        <v>0</v>
      </c>
    </row>
    <row r="2092" spans="1:10" x14ac:dyDescent="0.25">
      <c r="A2092" t="s">
        <v>288</v>
      </c>
      <c r="B2092" t="s">
        <v>289</v>
      </c>
      <c r="C2092" t="s">
        <v>44</v>
      </c>
      <c r="D2092" t="s">
        <v>45</v>
      </c>
      <c r="E2092">
        <v>3.8</v>
      </c>
      <c r="J2092">
        <f t="shared" si="32"/>
        <v>3.8</v>
      </c>
    </row>
    <row r="2093" spans="1:10" x14ac:dyDescent="0.25">
      <c r="A2093" t="s">
        <v>290</v>
      </c>
      <c r="B2093" t="s">
        <v>291</v>
      </c>
      <c r="C2093" t="s">
        <v>11</v>
      </c>
      <c r="D2093" t="s">
        <v>12</v>
      </c>
      <c r="G2093">
        <v>99.76</v>
      </c>
      <c r="J2093">
        <f t="shared" si="32"/>
        <v>99.76</v>
      </c>
    </row>
    <row r="2094" spans="1:10" x14ac:dyDescent="0.25">
      <c r="A2094" t="s">
        <v>290</v>
      </c>
      <c r="B2094" t="s">
        <v>291</v>
      </c>
      <c r="C2094" t="s">
        <v>14</v>
      </c>
      <c r="D2094" t="s">
        <v>15</v>
      </c>
      <c r="G2094">
        <v>99.91</v>
      </c>
      <c r="J2094">
        <f t="shared" si="32"/>
        <v>99.91</v>
      </c>
    </row>
    <row r="2095" spans="1:10" x14ac:dyDescent="0.25">
      <c r="A2095" t="s">
        <v>290</v>
      </c>
      <c r="B2095" t="s">
        <v>291</v>
      </c>
      <c r="C2095" t="s">
        <v>16</v>
      </c>
      <c r="D2095" t="s">
        <v>17</v>
      </c>
      <c r="G2095">
        <v>99.61</v>
      </c>
      <c r="J2095">
        <f t="shared" si="32"/>
        <v>99.61</v>
      </c>
    </row>
    <row r="2096" spans="1:10" x14ac:dyDescent="0.25">
      <c r="A2096" t="s">
        <v>290</v>
      </c>
      <c r="B2096" t="s">
        <v>291</v>
      </c>
      <c r="C2096" t="s">
        <v>18</v>
      </c>
      <c r="D2096" t="s">
        <v>19</v>
      </c>
      <c r="G2096">
        <v>99.57</v>
      </c>
      <c r="J2096">
        <f t="shared" si="32"/>
        <v>99.57</v>
      </c>
    </row>
    <row r="2097" spans="1:10" x14ac:dyDescent="0.25">
      <c r="A2097" t="s">
        <v>290</v>
      </c>
      <c r="B2097" t="s">
        <v>291</v>
      </c>
      <c r="C2097" t="s">
        <v>20</v>
      </c>
      <c r="D2097" t="s">
        <v>21</v>
      </c>
      <c r="G2097">
        <v>100</v>
      </c>
      <c r="J2097">
        <f t="shared" si="32"/>
        <v>100</v>
      </c>
    </row>
    <row r="2098" spans="1:10" x14ac:dyDescent="0.25">
      <c r="A2098" t="s">
        <v>290</v>
      </c>
      <c r="B2098" t="s">
        <v>291</v>
      </c>
      <c r="C2098" t="s">
        <v>22</v>
      </c>
      <c r="D2098" t="s">
        <v>23</v>
      </c>
      <c r="G2098">
        <v>98.33</v>
      </c>
      <c r="J2098">
        <f t="shared" si="32"/>
        <v>98.33</v>
      </c>
    </row>
    <row r="2099" spans="1:10" x14ac:dyDescent="0.25">
      <c r="A2099" t="s">
        <v>290</v>
      </c>
      <c r="B2099" t="s">
        <v>291</v>
      </c>
      <c r="C2099" t="s">
        <v>24</v>
      </c>
      <c r="D2099" t="s">
        <v>25</v>
      </c>
      <c r="J2099">
        <f t="shared" si="32"/>
        <v>0</v>
      </c>
    </row>
    <row r="2100" spans="1:10" x14ac:dyDescent="0.25">
      <c r="A2100" t="s">
        <v>290</v>
      </c>
      <c r="B2100" t="s">
        <v>291</v>
      </c>
      <c r="C2100" t="s">
        <v>26</v>
      </c>
      <c r="D2100" t="s">
        <v>27</v>
      </c>
      <c r="J2100">
        <f t="shared" si="32"/>
        <v>0</v>
      </c>
    </row>
    <row r="2101" spans="1:10" x14ac:dyDescent="0.25">
      <c r="A2101" t="s">
        <v>290</v>
      </c>
      <c r="B2101" t="s">
        <v>291</v>
      </c>
      <c r="C2101" t="s">
        <v>28</v>
      </c>
      <c r="D2101" t="s">
        <v>29</v>
      </c>
      <c r="E2101">
        <v>10</v>
      </c>
      <c r="J2101">
        <f t="shared" si="32"/>
        <v>10</v>
      </c>
    </row>
    <row r="2102" spans="1:10" x14ac:dyDescent="0.25">
      <c r="A2102" t="s">
        <v>290</v>
      </c>
      <c r="B2102" t="s">
        <v>291</v>
      </c>
      <c r="C2102" t="s">
        <v>30</v>
      </c>
      <c r="D2102" t="s">
        <v>31</v>
      </c>
      <c r="E2102">
        <v>160.32191827732501</v>
      </c>
      <c r="F2102">
        <v>196.640576642773</v>
      </c>
      <c r="G2102">
        <v>186.79491555088799</v>
      </c>
      <c r="H2102">
        <v>141.24439722802299</v>
      </c>
      <c r="I2102">
        <v>138.193489848821</v>
      </c>
      <c r="J2102">
        <f t="shared" si="32"/>
        <v>196.640576642773</v>
      </c>
    </row>
    <row r="2103" spans="1:10" x14ac:dyDescent="0.25">
      <c r="A2103" t="s">
        <v>290</v>
      </c>
      <c r="B2103" t="s">
        <v>291</v>
      </c>
      <c r="C2103" t="s">
        <v>32</v>
      </c>
      <c r="D2103" t="s">
        <v>33</v>
      </c>
      <c r="E2103">
        <v>11</v>
      </c>
      <c r="F2103">
        <v>11</v>
      </c>
      <c r="G2103">
        <v>11</v>
      </c>
      <c r="H2103">
        <v>11</v>
      </c>
      <c r="I2103">
        <v>11</v>
      </c>
      <c r="J2103">
        <f t="shared" si="32"/>
        <v>11</v>
      </c>
    </row>
    <row r="2104" spans="1:10" x14ac:dyDescent="0.25">
      <c r="A2104" t="s">
        <v>290</v>
      </c>
      <c r="B2104" t="s">
        <v>291</v>
      </c>
      <c r="C2104" t="s">
        <v>34</v>
      </c>
      <c r="D2104" t="s">
        <v>35</v>
      </c>
      <c r="E2104">
        <v>93.333335876464801</v>
      </c>
      <c r="F2104">
        <v>94.285713195800795</v>
      </c>
      <c r="G2104">
        <v>93.333335876464801</v>
      </c>
      <c r="H2104">
        <v>92.924530029296903</v>
      </c>
      <c r="I2104">
        <v>90.5660400390625</v>
      </c>
      <c r="J2104">
        <f t="shared" si="32"/>
        <v>94.285713195800795</v>
      </c>
    </row>
    <row r="2105" spans="1:10" x14ac:dyDescent="0.25">
      <c r="A2105" t="s">
        <v>290</v>
      </c>
      <c r="B2105" t="s">
        <v>291</v>
      </c>
      <c r="C2105" t="s">
        <v>36</v>
      </c>
      <c r="D2105" t="s">
        <v>37</v>
      </c>
      <c r="J2105">
        <f t="shared" si="32"/>
        <v>0</v>
      </c>
    </row>
    <row r="2106" spans="1:10" x14ac:dyDescent="0.25">
      <c r="A2106" t="s">
        <v>290</v>
      </c>
      <c r="B2106" t="s">
        <v>291</v>
      </c>
      <c r="C2106" t="s">
        <v>38</v>
      </c>
      <c r="D2106" t="s">
        <v>39</v>
      </c>
      <c r="J2106">
        <f t="shared" si="32"/>
        <v>0</v>
      </c>
    </row>
    <row r="2107" spans="1:10" x14ac:dyDescent="0.25">
      <c r="A2107" t="s">
        <v>290</v>
      </c>
      <c r="B2107" t="s">
        <v>291</v>
      </c>
      <c r="C2107" t="s">
        <v>40</v>
      </c>
      <c r="D2107" t="s">
        <v>41</v>
      </c>
      <c r="E2107">
        <v>91.361521999999994</v>
      </c>
      <c r="F2107">
        <v>90.745061000000007</v>
      </c>
      <c r="G2107">
        <v>90.662606999999994</v>
      </c>
      <c r="H2107">
        <v>90.958933000000002</v>
      </c>
      <c r="J2107">
        <f t="shared" si="32"/>
        <v>91.361521999999994</v>
      </c>
    </row>
    <row r="2108" spans="1:10" x14ac:dyDescent="0.25">
      <c r="A2108" t="s">
        <v>290</v>
      </c>
      <c r="B2108" t="s">
        <v>291</v>
      </c>
      <c r="C2108" t="s">
        <v>42</v>
      </c>
      <c r="D2108" t="s">
        <v>43</v>
      </c>
      <c r="J2108">
        <f t="shared" si="32"/>
        <v>0</v>
      </c>
    </row>
    <row r="2109" spans="1:10" x14ac:dyDescent="0.25">
      <c r="A2109" t="s">
        <v>290</v>
      </c>
      <c r="B2109" t="s">
        <v>291</v>
      </c>
      <c r="C2109" t="s">
        <v>44</v>
      </c>
      <c r="D2109" t="s">
        <v>45</v>
      </c>
      <c r="E2109">
        <v>4.5</v>
      </c>
      <c r="J2109">
        <f t="shared" si="32"/>
        <v>4.5</v>
      </c>
    </row>
    <row r="2110" spans="1:10" x14ac:dyDescent="0.25">
      <c r="A2110" t="s">
        <v>292</v>
      </c>
      <c r="B2110" t="s">
        <v>293</v>
      </c>
      <c r="C2110" t="s">
        <v>11</v>
      </c>
      <c r="D2110" t="s">
        <v>12</v>
      </c>
      <c r="G2110">
        <v>94.95</v>
      </c>
      <c r="J2110">
        <f t="shared" si="32"/>
        <v>94.95</v>
      </c>
    </row>
    <row r="2111" spans="1:10" x14ac:dyDescent="0.25">
      <c r="A2111" t="s">
        <v>292</v>
      </c>
      <c r="B2111" t="s">
        <v>293</v>
      </c>
      <c r="C2111" t="s">
        <v>14</v>
      </c>
      <c r="D2111" t="s">
        <v>15</v>
      </c>
      <c r="G2111">
        <v>96.79</v>
      </c>
      <c r="J2111">
        <f t="shared" si="32"/>
        <v>96.79</v>
      </c>
    </row>
    <row r="2112" spans="1:10" x14ac:dyDescent="0.25">
      <c r="A2112" t="s">
        <v>292</v>
      </c>
      <c r="B2112" t="s">
        <v>293</v>
      </c>
      <c r="C2112" t="s">
        <v>16</v>
      </c>
      <c r="D2112" t="s">
        <v>17</v>
      </c>
      <c r="G2112">
        <v>93.09</v>
      </c>
      <c r="J2112">
        <f t="shared" si="32"/>
        <v>93.09</v>
      </c>
    </row>
    <row r="2113" spans="1:10" x14ac:dyDescent="0.25">
      <c r="A2113" t="s">
        <v>292</v>
      </c>
      <c r="B2113" t="s">
        <v>293</v>
      </c>
      <c r="C2113" t="s">
        <v>18</v>
      </c>
      <c r="D2113" t="s">
        <v>19</v>
      </c>
      <c r="G2113">
        <v>91.25</v>
      </c>
      <c r="J2113">
        <f t="shared" si="32"/>
        <v>91.25</v>
      </c>
    </row>
    <row r="2114" spans="1:10" x14ac:dyDescent="0.25">
      <c r="A2114" t="s">
        <v>292</v>
      </c>
      <c r="B2114" t="s">
        <v>293</v>
      </c>
      <c r="C2114" t="s">
        <v>20</v>
      </c>
      <c r="D2114" t="s">
        <v>21</v>
      </c>
      <c r="G2114">
        <v>93.8</v>
      </c>
      <c r="J2114">
        <f t="shared" si="32"/>
        <v>93.8</v>
      </c>
    </row>
    <row r="2115" spans="1:10" x14ac:dyDescent="0.25">
      <c r="A2115" t="s">
        <v>292</v>
      </c>
      <c r="B2115" t="s">
        <v>293</v>
      </c>
      <c r="C2115" t="s">
        <v>22</v>
      </c>
      <c r="D2115" t="s">
        <v>23</v>
      </c>
      <c r="G2115">
        <v>57.72</v>
      </c>
      <c r="J2115">
        <f t="shared" ref="J2115:J2178" si="33">MAX(E2115:I2115)</f>
        <v>57.72</v>
      </c>
    </row>
    <row r="2116" spans="1:10" x14ac:dyDescent="0.25">
      <c r="A2116" t="s">
        <v>292</v>
      </c>
      <c r="B2116" t="s">
        <v>293</v>
      </c>
      <c r="C2116" t="s">
        <v>24</v>
      </c>
      <c r="D2116" t="s">
        <v>25</v>
      </c>
      <c r="J2116">
        <f t="shared" si="33"/>
        <v>0</v>
      </c>
    </row>
    <row r="2117" spans="1:10" x14ac:dyDescent="0.25">
      <c r="A2117" t="s">
        <v>292</v>
      </c>
      <c r="B2117" t="s">
        <v>293</v>
      </c>
      <c r="C2117" t="s">
        <v>26</v>
      </c>
      <c r="D2117" t="s">
        <v>27</v>
      </c>
      <c r="J2117">
        <f t="shared" si="33"/>
        <v>0</v>
      </c>
    </row>
    <row r="2118" spans="1:10" x14ac:dyDescent="0.25">
      <c r="A2118" t="s">
        <v>292</v>
      </c>
      <c r="B2118" t="s">
        <v>293</v>
      </c>
      <c r="C2118" t="s">
        <v>28</v>
      </c>
      <c r="D2118" t="s">
        <v>29</v>
      </c>
      <c r="E2118">
        <v>7.4</v>
      </c>
      <c r="J2118">
        <f t="shared" si="33"/>
        <v>7.4</v>
      </c>
    </row>
    <row r="2119" spans="1:10" x14ac:dyDescent="0.25">
      <c r="A2119" t="s">
        <v>292</v>
      </c>
      <c r="B2119" t="s">
        <v>293</v>
      </c>
      <c r="C2119" t="s">
        <v>30</v>
      </c>
      <c r="D2119" t="s">
        <v>31</v>
      </c>
      <c r="E2119">
        <v>100.032349144953</v>
      </c>
      <c r="F2119">
        <v>124.550890800621</v>
      </c>
      <c r="G2119">
        <v>118.450755665757</v>
      </c>
      <c r="H2119">
        <v>112.889632760053</v>
      </c>
      <c r="I2119">
        <v>114.877162773867</v>
      </c>
      <c r="J2119">
        <f t="shared" si="33"/>
        <v>124.550890800621</v>
      </c>
    </row>
    <row r="2120" spans="1:10" x14ac:dyDescent="0.25">
      <c r="A2120" t="s">
        <v>292</v>
      </c>
      <c r="B2120" t="s">
        <v>293</v>
      </c>
      <c r="C2120" t="s">
        <v>32</v>
      </c>
      <c r="D2120" t="s">
        <v>33</v>
      </c>
      <c r="E2120">
        <v>12</v>
      </c>
      <c r="F2120">
        <v>12</v>
      </c>
      <c r="G2120">
        <v>12</v>
      </c>
      <c r="H2120">
        <v>12</v>
      </c>
      <c r="I2120">
        <v>12</v>
      </c>
      <c r="J2120">
        <f t="shared" si="33"/>
        <v>12</v>
      </c>
    </row>
    <row r="2121" spans="1:10" x14ac:dyDescent="0.25">
      <c r="A2121" t="s">
        <v>292</v>
      </c>
      <c r="B2121" t="s">
        <v>293</v>
      </c>
      <c r="C2121" t="s">
        <v>34</v>
      </c>
      <c r="D2121" t="s">
        <v>35</v>
      </c>
      <c r="E2121">
        <v>87.619049072265597</v>
      </c>
      <c r="F2121">
        <v>81.904762268066406</v>
      </c>
      <c r="G2121">
        <v>82.857139587402301</v>
      </c>
      <c r="H2121">
        <v>82.547172546386705</v>
      </c>
      <c r="I2121">
        <v>83.018867492675795</v>
      </c>
      <c r="J2121">
        <f t="shared" si="33"/>
        <v>87.619049072265597</v>
      </c>
    </row>
    <row r="2122" spans="1:10" x14ac:dyDescent="0.25">
      <c r="A2122" t="s">
        <v>292</v>
      </c>
      <c r="B2122" t="s">
        <v>293</v>
      </c>
      <c r="C2122" t="s">
        <v>36</v>
      </c>
      <c r="D2122" t="s">
        <v>37</v>
      </c>
      <c r="J2122">
        <f t="shared" si="33"/>
        <v>0</v>
      </c>
    </row>
    <row r="2123" spans="1:10" x14ac:dyDescent="0.25">
      <c r="A2123" t="s">
        <v>292</v>
      </c>
      <c r="B2123" t="s">
        <v>293</v>
      </c>
      <c r="C2123" t="s">
        <v>38</v>
      </c>
      <c r="D2123" t="s">
        <v>39</v>
      </c>
      <c r="J2123">
        <f t="shared" si="33"/>
        <v>0</v>
      </c>
    </row>
    <row r="2124" spans="1:10" x14ac:dyDescent="0.25">
      <c r="A2124" t="s">
        <v>292</v>
      </c>
      <c r="B2124" t="s">
        <v>293</v>
      </c>
      <c r="C2124" t="s">
        <v>40</v>
      </c>
      <c r="D2124" t="s">
        <v>41</v>
      </c>
      <c r="E2124">
        <v>87.818218999999999</v>
      </c>
      <c r="F2124">
        <v>86.083526000000006</v>
      </c>
      <c r="G2124">
        <v>84.585182000000003</v>
      </c>
      <c r="H2124">
        <v>86.451240999999996</v>
      </c>
      <c r="J2124">
        <f t="shared" si="33"/>
        <v>87.818218999999999</v>
      </c>
    </row>
    <row r="2125" spans="1:10" x14ac:dyDescent="0.25">
      <c r="A2125" t="s">
        <v>292</v>
      </c>
      <c r="B2125" t="s">
        <v>293</v>
      </c>
      <c r="C2125" t="s">
        <v>42</v>
      </c>
      <c r="D2125" t="s">
        <v>43</v>
      </c>
      <c r="J2125">
        <f t="shared" si="33"/>
        <v>0</v>
      </c>
    </row>
    <row r="2126" spans="1:10" x14ac:dyDescent="0.25">
      <c r="A2126" t="s">
        <v>292</v>
      </c>
      <c r="B2126" t="s">
        <v>293</v>
      </c>
      <c r="C2126" t="s">
        <v>44</v>
      </c>
      <c r="D2126" t="s">
        <v>45</v>
      </c>
      <c r="E2126">
        <v>4.2</v>
      </c>
      <c r="J2126">
        <f t="shared" si="33"/>
        <v>4.2</v>
      </c>
    </row>
    <row r="2127" spans="1:10" x14ac:dyDescent="0.25">
      <c r="A2127" t="s">
        <v>294</v>
      </c>
      <c r="B2127" t="s">
        <v>295</v>
      </c>
      <c r="C2127" t="s">
        <v>11</v>
      </c>
      <c r="D2127" t="s">
        <v>12</v>
      </c>
      <c r="G2127">
        <v>74.13</v>
      </c>
      <c r="J2127">
        <f t="shared" si="33"/>
        <v>74.13</v>
      </c>
    </row>
    <row r="2128" spans="1:10" x14ac:dyDescent="0.25">
      <c r="A2128" t="s">
        <v>294</v>
      </c>
      <c r="B2128" t="s">
        <v>295</v>
      </c>
      <c r="C2128" t="s">
        <v>14</v>
      </c>
      <c r="D2128" t="s">
        <v>15</v>
      </c>
      <c r="G2128">
        <v>75.73</v>
      </c>
      <c r="J2128">
        <f t="shared" si="33"/>
        <v>75.73</v>
      </c>
    </row>
    <row r="2129" spans="1:10" x14ac:dyDescent="0.25">
      <c r="A2129" t="s">
        <v>294</v>
      </c>
      <c r="B2129" t="s">
        <v>295</v>
      </c>
      <c r="C2129" t="s">
        <v>16</v>
      </c>
      <c r="D2129" t="s">
        <v>17</v>
      </c>
      <c r="G2129">
        <v>72.349999999999994</v>
      </c>
      <c r="J2129">
        <f t="shared" si="33"/>
        <v>72.349999999999994</v>
      </c>
    </row>
    <row r="2130" spans="1:10" x14ac:dyDescent="0.25">
      <c r="A2130" t="s">
        <v>294</v>
      </c>
      <c r="B2130" t="s">
        <v>295</v>
      </c>
      <c r="C2130" t="s">
        <v>18</v>
      </c>
      <c r="D2130" t="s">
        <v>19</v>
      </c>
      <c r="G2130">
        <v>63.23</v>
      </c>
      <c r="J2130">
        <f t="shared" si="33"/>
        <v>63.23</v>
      </c>
    </row>
    <row r="2131" spans="1:10" x14ac:dyDescent="0.25">
      <c r="A2131" t="s">
        <v>294</v>
      </c>
      <c r="B2131" t="s">
        <v>295</v>
      </c>
      <c r="C2131" t="s">
        <v>20</v>
      </c>
      <c r="D2131" t="s">
        <v>21</v>
      </c>
      <c r="G2131">
        <v>59.46</v>
      </c>
      <c r="J2131">
        <f t="shared" si="33"/>
        <v>59.46</v>
      </c>
    </row>
    <row r="2132" spans="1:10" x14ac:dyDescent="0.25">
      <c r="A2132" t="s">
        <v>294</v>
      </c>
      <c r="B2132" t="s">
        <v>295</v>
      </c>
      <c r="C2132" t="s">
        <v>22</v>
      </c>
      <c r="D2132" t="s">
        <v>23</v>
      </c>
      <c r="G2132">
        <v>65.36</v>
      </c>
      <c r="J2132">
        <f t="shared" si="33"/>
        <v>65.36</v>
      </c>
    </row>
    <row r="2133" spans="1:10" x14ac:dyDescent="0.25">
      <c r="A2133" t="s">
        <v>294</v>
      </c>
      <c r="B2133" t="s">
        <v>295</v>
      </c>
      <c r="C2133" t="s">
        <v>24</v>
      </c>
      <c r="D2133" t="s">
        <v>25</v>
      </c>
      <c r="J2133">
        <f t="shared" si="33"/>
        <v>0</v>
      </c>
    </row>
    <row r="2134" spans="1:10" x14ac:dyDescent="0.25">
      <c r="A2134" t="s">
        <v>294</v>
      </c>
      <c r="B2134" t="s">
        <v>295</v>
      </c>
      <c r="C2134" t="s">
        <v>26</v>
      </c>
      <c r="D2134" t="s">
        <v>27</v>
      </c>
      <c r="J2134">
        <f t="shared" si="33"/>
        <v>0</v>
      </c>
    </row>
    <row r="2135" spans="1:10" x14ac:dyDescent="0.25">
      <c r="A2135" t="s">
        <v>294</v>
      </c>
      <c r="B2135" t="s">
        <v>295</v>
      </c>
      <c r="C2135" t="s">
        <v>28</v>
      </c>
      <c r="D2135" t="s">
        <v>29</v>
      </c>
      <c r="E2135">
        <v>3</v>
      </c>
      <c r="J2135">
        <f t="shared" si="33"/>
        <v>3</v>
      </c>
    </row>
    <row r="2136" spans="1:10" x14ac:dyDescent="0.25">
      <c r="A2136" t="s">
        <v>294</v>
      </c>
      <c r="B2136" t="s">
        <v>295</v>
      </c>
      <c r="C2136" t="s">
        <v>30</v>
      </c>
      <c r="D2136" t="s">
        <v>31</v>
      </c>
      <c r="E2136">
        <v>50.131439362021702</v>
      </c>
      <c r="F2136">
        <v>60.278431865455403</v>
      </c>
      <c r="J2136">
        <f t="shared" si="33"/>
        <v>60.278431865455403</v>
      </c>
    </row>
    <row r="2137" spans="1:10" x14ac:dyDescent="0.25">
      <c r="A2137" t="s">
        <v>294</v>
      </c>
      <c r="B2137" t="s">
        <v>295</v>
      </c>
      <c r="C2137" t="s">
        <v>32</v>
      </c>
      <c r="D2137" t="s">
        <v>33</v>
      </c>
      <c r="E2137">
        <v>14</v>
      </c>
      <c r="F2137">
        <v>14</v>
      </c>
      <c r="G2137">
        <v>14</v>
      </c>
      <c r="H2137">
        <v>14</v>
      </c>
      <c r="I2137">
        <v>14</v>
      </c>
      <c r="J2137">
        <f t="shared" si="33"/>
        <v>14</v>
      </c>
    </row>
    <row r="2138" spans="1:10" x14ac:dyDescent="0.25">
      <c r="A2138" t="s">
        <v>294</v>
      </c>
      <c r="B2138" t="s">
        <v>295</v>
      </c>
      <c r="C2138" t="s">
        <v>34</v>
      </c>
      <c r="D2138" t="s">
        <v>35</v>
      </c>
      <c r="E2138">
        <v>88.095237731933594</v>
      </c>
      <c r="F2138">
        <v>89.047622680664105</v>
      </c>
      <c r="G2138">
        <v>91.428573608398395</v>
      </c>
      <c r="H2138">
        <v>91.981132507324205</v>
      </c>
      <c r="I2138">
        <v>92.452827453613295</v>
      </c>
      <c r="J2138">
        <f t="shared" si="33"/>
        <v>92.452827453613295</v>
      </c>
    </row>
    <row r="2139" spans="1:10" x14ac:dyDescent="0.25">
      <c r="A2139" t="s">
        <v>294</v>
      </c>
      <c r="B2139" t="s">
        <v>295</v>
      </c>
      <c r="C2139" t="s">
        <v>36</v>
      </c>
      <c r="D2139" t="s">
        <v>37</v>
      </c>
      <c r="E2139">
        <v>59.535378657606998</v>
      </c>
      <c r="F2139">
        <v>44.230327548883899</v>
      </c>
      <c r="J2139">
        <f t="shared" si="33"/>
        <v>59.535378657606998</v>
      </c>
    </row>
    <row r="2140" spans="1:10" x14ac:dyDescent="0.25">
      <c r="A2140" t="s">
        <v>294</v>
      </c>
      <c r="B2140" t="s">
        <v>295</v>
      </c>
      <c r="C2140" t="s">
        <v>38</v>
      </c>
      <c r="D2140" t="s">
        <v>39</v>
      </c>
      <c r="E2140">
        <v>21.389737806516901</v>
      </c>
      <c r="F2140">
        <v>21.634540285544698</v>
      </c>
      <c r="J2140">
        <f t="shared" si="33"/>
        <v>21.634540285544698</v>
      </c>
    </row>
    <row r="2141" spans="1:10" x14ac:dyDescent="0.25">
      <c r="A2141" t="s">
        <v>294</v>
      </c>
      <c r="B2141" t="s">
        <v>295</v>
      </c>
      <c r="C2141" t="s">
        <v>40</v>
      </c>
      <c r="D2141" t="s">
        <v>41</v>
      </c>
      <c r="E2141">
        <v>87.394222999999997</v>
      </c>
      <c r="F2141">
        <v>87.813433000000003</v>
      </c>
      <c r="G2141">
        <v>85.065376999999998</v>
      </c>
      <c r="H2141">
        <v>86.208191999999997</v>
      </c>
      <c r="J2141">
        <f t="shared" si="33"/>
        <v>87.813433000000003</v>
      </c>
    </row>
    <row r="2142" spans="1:10" x14ac:dyDescent="0.25">
      <c r="A2142" t="s">
        <v>294</v>
      </c>
      <c r="B2142" t="s">
        <v>295</v>
      </c>
      <c r="C2142" t="s">
        <v>42</v>
      </c>
      <c r="D2142" t="s">
        <v>43</v>
      </c>
      <c r="J2142">
        <f t="shared" si="33"/>
        <v>0</v>
      </c>
    </row>
    <row r="2143" spans="1:10" x14ac:dyDescent="0.25">
      <c r="A2143" t="s">
        <v>294</v>
      </c>
      <c r="B2143" t="s">
        <v>295</v>
      </c>
      <c r="C2143" t="s">
        <v>44</v>
      </c>
      <c r="D2143" t="s">
        <v>45</v>
      </c>
      <c r="E2143">
        <v>6.5</v>
      </c>
      <c r="J2143">
        <f t="shared" si="33"/>
        <v>6.5</v>
      </c>
    </row>
    <row r="2144" spans="1:10" x14ac:dyDescent="0.25">
      <c r="A2144" t="s">
        <v>296</v>
      </c>
      <c r="B2144" t="s">
        <v>297</v>
      </c>
      <c r="C2144" t="s">
        <v>11</v>
      </c>
      <c r="D2144" t="s">
        <v>12</v>
      </c>
      <c r="G2144">
        <v>44.13</v>
      </c>
      <c r="J2144">
        <f t="shared" si="33"/>
        <v>44.13</v>
      </c>
    </row>
    <row r="2145" spans="1:10" x14ac:dyDescent="0.25">
      <c r="A2145" t="s">
        <v>296</v>
      </c>
      <c r="B2145" t="s">
        <v>297</v>
      </c>
      <c r="C2145" t="s">
        <v>14</v>
      </c>
      <c r="D2145" t="s">
        <v>15</v>
      </c>
      <c r="G2145">
        <v>38.82</v>
      </c>
      <c r="J2145">
        <f t="shared" si="33"/>
        <v>38.82</v>
      </c>
    </row>
    <row r="2146" spans="1:10" x14ac:dyDescent="0.25">
      <c r="A2146" t="s">
        <v>296</v>
      </c>
      <c r="B2146" t="s">
        <v>297</v>
      </c>
      <c r="C2146" t="s">
        <v>16</v>
      </c>
      <c r="D2146" t="s">
        <v>17</v>
      </c>
      <c r="G2146">
        <v>50.24</v>
      </c>
      <c r="J2146">
        <f t="shared" si="33"/>
        <v>50.24</v>
      </c>
    </row>
    <row r="2147" spans="1:10" x14ac:dyDescent="0.25">
      <c r="A2147" t="s">
        <v>296</v>
      </c>
      <c r="B2147" t="s">
        <v>297</v>
      </c>
      <c r="C2147" t="s">
        <v>18</v>
      </c>
      <c r="D2147" t="s">
        <v>19</v>
      </c>
      <c r="G2147">
        <v>41.5</v>
      </c>
      <c r="J2147">
        <f t="shared" si="33"/>
        <v>41.5</v>
      </c>
    </row>
    <row r="2148" spans="1:10" x14ac:dyDescent="0.25">
      <c r="A2148" t="s">
        <v>296</v>
      </c>
      <c r="B2148" t="s">
        <v>297</v>
      </c>
      <c r="C2148" t="s">
        <v>20</v>
      </c>
      <c r="D2148" t="s">
        <v>21</v>
      </c>
      <c r="G2148">
        <v>24.4</v>
      </c>
      <c r="J2148">
        <f t="shared" si="33"/>
        <v>24.4</v>
      </c>
    </row>
    <row r="2149" spans="1:10" x14ac:dyDescent="0.25">
      <c r="A2149" t="s">
        <v>296</v>
      </c>
      <c r="B2149" t="s">
        <v>297</v>
      </c>
      <c r="C2149" t="s">
        <v>22</v>
      </c>
      <c r="D2149" t="s">
        <v>23</v>
      </c>
      <c r="G2149">
        <v>23.85</v>
      </c>
      <c r="J2149">
        <f t="shared" si="33"/>
        <v>23.85</v>
      </c>
    </row>
    <row r="2150" spans="1:10" x14ac:dyDescent="0.25">
      <c r="A2150" t="s">
        <v>296</v>
      </c>
      <c r="B2150" t="s">
        <v>297</v>
      </c>
      <c r="C2150" t="s">
        <v>24</v>
      </c>
      <c r="D2150" t="s">
        <v>25</v>
      </c>
      <c r="J2150">
        <f t="shared" si="33"/>
        <v>0</v>
      </c>
    </row>
    <row r="2151" spans="1:10" x14ac:dyDescent="0.25">
      <c r="A2151" t="s">
        <v>296</v>
      </c>
      <c r="B2151" t="s">
        <v>297</v>
      </c>
      <c r="C2151" t="s">
        <v>26</v>
      </c>
      <c r="D2151" t="s">
        <v>27</v>
      </c>
      <c r="E2151">
        <v>5.9</v>
      </c>
      <c r="J2151">
        <f t="shared" si="33"/>
        <v>5.9</v>
      </c>
    </row>
    <row r="2152" spans="1:10" x14ac:dyDescent="0.25">
      <c r="A2152" t="s">
        <v>296</v>
      </c>
      <c r="B2152" t="s">
        <v>297</v>
      </c>
      <c r="C2152" t="s">
        <v>28</v>
      </c>
      <c r="D2152" t="s">
        <v>29</v>
      </c>
      <c r="E2152">
        <v>8</v>
      </c>
      <c r="J2152">
        <f t="shared" si="33"/>
        <v>8</v>
      </c>
    </row>
    <row r="2153" spans="1:10" x14ac:dyDescent="0.25">
      <c r="A2153" t="s">
        <v>296</v>
      </c>
      <c r="B2153" t="s">
        <v>297</v>
      </c>
      <c r="C2153" t="s">
        <v>30</v>
      </c>
      <c r="D2153" t="s">
        <v>31</v>
      </c>
      <c r="J2153">
        <f t="shared" si="33"/>
        <v>0</v>
      </c>
    </row>
    <row r="2154" spans="1:10" x14ac:dyDescent="0.25">
      <c r="A2154" t="s">
        <v>296</v>
      </c>
      <c r="B2154" t="s">
        <v>297</v>
      </c>
      <c r="C2154" t="s">
        <v>32</v>
      </c>
      <c r="D2154" t="s">
        <v>33</v>
      </c>
      <c r="E2154">
        <v>12</v>
      </c>
      <c r="F2154">
        <v>12</v>
      </c>
      <c r="G2154">
        <v>12</v>
      </c>
      <c r="H2154">
        <v>12</v>
      </c>
      <c r="I2154">
        <v>12</v>
      </c>
      <c r="J2154">
        <f t="shared" si="33"/>
        <v>12</v>
      </c>
    </row>
    <row r="2155" spans="1:10" x14ac:dyDescent="0.25">
      <c r="A2155" t="s">
        <v>296</v>
      </c>
      <c r="B2155" t="s">
        <v>297</v>
      </c>
      <c r="C2155" t="s">
        <v>34</v>
      </c>
      <c r="D2155" t="s">
        <v>35</v>
      </c>
      <c r="E2155">
        <v>15.238095283508301</v>
      </c>
      <c r="F2155">
        <v>15.714285850524901</v>
      </c>
      <c r="G2155">
        <v>22.857143402099599</v>
      </c>
      <c r="H2155">
        <v>24.5283012390137</v>
      </c>
      <c r="I2155">
        <v>23.113206863403299</v>
      </c>
      <c r="J2155">
        <f t="shared" si="33"/>
        <v>24.5283012390137</v>
      </c>
    </row>
    <row r="2156" spans="1:10" x14ac:dyDescent="0.25">
      <c r="A2156" t="s">
        <v>296</v>
      </c>
      <c r="B2156" t="s">
        <v>297</v>
      </c>
      <c r="C2156" t="s">
        <v>36</v>
      </c>
      <c r="D2156" t="s">
        <v>37</v>
      </c>
      <c r="J2156">
        <f t="shared" si="33"/>
        <v>0</v>
      </c>
    </row>
    <row r="2157" spans="1:10" x14ac:dyDescent="0.25">
      <c r="A2157" t="s">
        <v>296</v>
      </c>
      <c r="B2157" t="s">
        <v>297</v>
      </c>
      <c r="C2157" t="s">
        <v>38</v>
      </c>
      <c r="D2157" t="s">
        <v>39</v>
      </c>
      <c r="J2157">
        <f t="shared" si="33"/>
        <v>0</v>
      </c>
    </row>
    <row r="2158" spans="1:10" x14ac:dyDescent="0.25">
      <c r="A2158" t="s">
        <v>296</v>
      </c>
      <c r="B2158" t="s">
        <v>297</v>
      </c>
      <c r="C2158" t="s">
        <v>40</v>
      </c>
      <c r="D2158" t="s">
        <v>41</v>
      </c>
      <c r="E2158">
        <v>81.536681000000002</v>
      </c>
      <c r="F2158">
        <v>80.86448</v>
      </c>
      <c r="G2158">
        <v>80.603579999999994</v>
      </c>
      <c r="H2158">
        <v>80.977718999999993</v>
      </c>
      <c r="J2158">
        <f t="shared" si="33"/>
        <v>81.536681000000002</v>
      </c>
    </row>
    <row r="2159" spans="1:10" x14ac:dyDescent="0.25">
      <c r="A2159" t="s">
        <v>296</v>
      </c>
      <c r="B2159" t="s">
        <v>297</v>
      </c>
      <c r="C2159" t="s">
        <v>42</v>
      </c>
      <c r="D2159" t="s">
        <v>43</v>
      </c>
      <c r="J2159">
        <f t="shared" si="33"/>
        <v>0</v>
      </c>
    </row>
    <row r="2160" spans="1:10" x14ac:dyDescent="0.25">
      <c r="A2160" t="s">
        <v>296</v>
      </c>
      <c r="B2160" t="s">
        <v>297</v>
      </c>
      <c r="C2160" t="s">
        <v>44</v>
      </c>
      <c r="D2160" t="s">
        <v>45</v>
      </c>
      <c r="E2160">
        <v>3</v>
      </c>
      <c r="J2160">
        <f t="shared" si="33"/>
        <v>3</v>
      </c>
    </row>
    <row r="2161" spans="1:10" x14ac:dyDescent="0.25">
      <c r="A2161" t="s">
        <v>298</v>
      </c>
      <c r="B2161" t="s">
        <v>299</v>
      </c>
      <c r="C2161" t="s">
        <v>11</v>
      </c>
      <c r="D2161" t="s">
        <v>12</v>
      </c>
      <c r="G2161">
        <v>84.39</v>
      </c>
      <c r="J2161">
        <f t="shared" si="33"/>
        <v>84.39</v>
      </c>
    </row>
    <row r="2162" spans="1:10" x14ac:dyDescent="0.25">
      <c r="A2162" t="s">
        <v>298</v>
      </c>
      <c r="B2162" t="s">
        <v>299</v>
      </c>
      <c r="C2162" t="s">
        <v>14</v>
      </c>
      <c r="D2162" t="s">
        <v>15</v>
      </c>
      <c r="G2162">
        <v>79.67</v>
      </c>
      <c r="J2162">
        <f t="shared" si="33"/>
        <v>79.67</v>
      </c>
    </row>
    <row r="2163" spans="1:10" x14ac:dyDescent="0.25">
      <c r="A2163" t="s">
        <v>298</v>
      </c>
      <c r="B2163" t="s">
        <v>299</v>
      </c>
      <c r="C2163" t="s">
        <v>16</v>
      </c>
      <c r="D2163" t="s">
        <v>17</v>
      </c>
      <c r="G2163">
        <v>89.06</v>
      </c>
      <c r="J2163">
        <f t="shared" si="33"/>
        <v>89.06</v>
      </c>
    </row>
    <row r="2164" spans="1:10" x14ac:dyDescent="0.25">
      <c r="A2164" t="s">
        <v>298</v>
      </c>
      <c r="B2164" t="s">
        <v>299</v>
      </c>
      <c r="C2164" t="s">
        <v>18</v>
      </c>
      <c r="D2164" t="s">
        <v>19</v>
      </c>
      <c r="G2164">
        <v>78.209999999999994</v>
      </c>
      <c r="J2164">
        <f t="shared" si="33"/>
        <v>78.209999999999994</v>
      </c>
    </row>
    <row r="2165" spans="1:10" x14ac:dyDescent="0.25">
      <c r="A2165" t="s">
        <v>298</v>
      </c>
      <c r="B2165" t="s">
        <v>299</v>
      </c>
      <c r="C2165" t="s">
        <v>20</v>
      </c>
      <c r="D2165" t="s">
        <v>21</v>
      </c>
      <c r="G2165">
        <v>62.24</v>
      </c>
      <c r="J2165">
        <f t="shared" si="33"/>
        <v>62.24</v>
      </c>
    </row>
    <row r="2166" spans="1:10" x14ac:dyDescent="0.25">
      <c r="A2166" t="s">
        <v>298</v>
      </c>
      <c r="B2166" t="s">
        <v>299</v>
      </c>
      <c r="C2166" t="s">
        <v>22</v>
      </c>
      <c r="D2166" t="s">
        <v>23</v>
      </c>
      <c r="G2166">
        <v>83</v>
      </c>
      <c r="J2166">
        <f t="shared" si="33"/>
        <v>83</v>
      </c>
    </row>
    <row r="2167" spans="1:10" x14ac:dyDescent="0.25">
      <c r="A2167" t="s">
        <v>298</v>
      </c>
      <c r="B2167" t="s">
        <v>299</v>
      </c>
      <c r="C2167" t="s">
        <v>24</v>
      </c>
      <c r="D2167" t="s">
        <v>25</v>
      </c>
      <c r="J2167">
        <f t="shared" si="33"/>
        <v>0</v>
      </c>
    </row>
    <row r="2168" spans="1:10" x14ac:dyDescent="0.25">
      <c r="A2168" t="s">
        <v>298</v>
      </c>
      <c r="B2168" t="s">
        <v>299</v>
      </c>
      <c r="C2168" t="s">
        <v>26</v>
      </c>
      <c r="D2168" t="s">
        <v>27</v>
      </c>
      <c r="J2168">
        <f t="shared" si="33"/>
        <v>0</v>
      </c>
    </row>
    <row r="2169" spans="1:10" x14ac:dyDescent="0.25">
      <c r="A2169" t="s">
        <v>298</v>
      </c>
      <c r="B2169" t="s">
        <v>299</v>
      </c>
      <c r="C2169" t="s">
        <v>28</v>
      </c>
      <c r="D2169" t="s">
        <v>29</v>
      </c>
      <c r="E2169">
        <v>3</v>
      </c>
      <c r="J2169">
        <f t="shared" si="33"/>
        <v>3</v>
      </c>
    </row>
    <row r="2170" spans="1:10" x14ac:dyDescent="0.25">
      <c r="A2170" t="s">
        <v>298</v>
      </c>
      <c r="B2170" t="s">
        <v>299</v>
      </c>
      <c r="C2170" t="s">
        <v>30</v>
      </c>
      <c r="D2170" t="s">
        <v>31</v>
      </c>
      <c r="J2170">
        <f t="shared" si="33"/>
        <v>0</v>
      </c>
    </row>
    <row r="2171" spans="1:10" x14ac:dyDescent="0.25">
      <c r="A2171" t="s">
        <v>298</v>
      </c>
      <c r="B2171" t="s">
        <v>299</v>
      </c>
      <c r="C2171" t="s">
        <v>32</v>
      </c>
      <c r="D2171" t="s">
        <v>33</v>
      </c>
      <c r="E2171">
        <v>17</v>
      </c>
      <c r="F2171">
        <v>17</v>
      </c>
      <c r="G2171">
        <v>17</v>
      </c>
      <c r="I2171">
        <v>17</v>
      </c>
      <c r="J2171">
        <f t="shared" si="33"/>
        <v>17</v>
      </c>
    </row>
    <row r="2172" spans="1:10" x14ac:dyDescent="0.25">
      <c r="A2172" t="s">
        <v>298</v>
      </c>
      <c r="B2172" t="s">
        <v>299</v>
      </c>
      <c r="C2172" t="s">
        <v>34</v>
      </c>
      <c r="D2172" t="s">
        <v>35</v>
      </c>
      <c r="E2172">
        <v>3.8095238208770801</v>
      </c>
      <c r="F2172">
        <v>3.3333332538604701</v>
      </c>
      <c r="G2172">
        <v>1.90476191043854</v>
      </c>
      <c r="H2172">
        <v>1.8867924213409399</v>
      </c>
      <c r="I2172">
        <v>1.41509437561035</v>
      </c>
      <c r="J2172">
        <f t="shared" si="33"/>
        <v>3.8095238208770801</v>
      </c>
    </row>
    <row r="2173" spans="1:10" x14ac:dyDescent="0.25">
      <c r="A2173" t="s">
        <v>298</v>
      </c>
      <c r="B2173" t="s">
        <v>299</v>
      </c>
      <c r="C2173" t="s">
        <v>36</v>
      </c>
      <c r="D2173" t="s">
        <v>37</v>
      </c>
      <c r="J2173">
        <f t="shared" si="33"/>
        <v>0</v>
      </c>
    </row>
    <row r="2174" spans="1:10" x14ac:dyDescent="0.25">
      <c r="A2174" t="s">
        <v>298</v>
      </c>
      <c r="B2174" t="s">
        <v>299</v>
      </c>
      <c r="C2174" t="s">
        <v>38</v>
      </c>
      <c r="D2174" t="s">
        <v>39</v>
      </c>
      <c r="J2174">
        <f t="shared" si="33"/>
        <v>0</v>
      </c>
    </row>
    <row r="2175" spans="1:10" x14ac:dyDescent="0.25">
      <c r="A2175" t="s">
        <v>298</v>
      </c>
      <c r="B2175" t="s">
        <v>299</v>
      </c>
      <c r="C2175" t="s">
        <v>40</v>
      </c>
      <c r="D2175" t="s">
        <v>41</v>
      </c>
      <c r="E2175">
        <v>83.419809999999998</v>
      </c>
      <c r="F2175">
        <v>83.160238000000007</v>
      </c>
      <c r="G2175">
        <v>81.471757999999994</v>
      </c>
      <c r="H2175">
        <v>83.167078000000004</v>
      </c>
      <c r="J2175">
        <f t="shared" si="33"/>
        <v>83.419809999999998</v>
      </c>
    </row>
    <row r="2176" spans="1:10" x14ac:dyDescent="0.25">
      <c r="A2176" t="s">
        <v>298</v>
      </c>
      <c r="B2176" t="s">
        <v>299</v>
      </c>
      <c r="C2176" t="s">
        <v>42</v>
      </c>
      <c r="D2176" t="s">
        <v>43</v>
      </c>
      <c r="J2176">
        <f t="shared" si="33"/>
        <v>0</v>
      </c>
    </row>
    <row r="2177" spans="1:10" x14ac:dyDescent="0.25">
      <c r="A2177" t="s">
        <v>298</v>
      </c>
      <c r="B2177" t="s">
        <v>299</v>
      </c>
      <c r="C2177" t="s">
        <v>44</v>
      </c>
      <c r="D2177" t="s">
        <v>45</v>
      </c>
      <c r="E2177">
        <v>230</v>
      </c>
      <c r="J2177">
        <f t="shared" si="33"/>
        <v>230</v>
      </c>
    </row>
    <row r="2178" spans="1:10" x14ac:dyDescent="0.25">
      <c r="A2178" t="s">
        <v>300</v>
      </c>
      <c r="B2178" t="s">
        <v>301</v>
      </c>
      <c r="C2178" t="s">
        <v>11</v>
      </c>
      <c r="D2178" t="s">
        <v>12</v>
      </c>
      <c r="G2178">
        <v>48.52</v>
      </c>
      <c r="J2178">
        <f t="shared" si="33"/>
        <v>48.52</v>
      </c>
    </row>
    <row r="2179" spans="1:10" x14ac:dyDescent="0.25">
      <c r="A2179" t="s">
        <v>300</v>
      </c>
      <c r="B2179" t="s">
        <v>301</v>
      </c>
      <c r="C2179" t="s">
        <v>14</v>
      </c>
      <c r="D2179" t="s">
        <v>15</v>
      </c>
      <c r="G2179">
        <v>44.98</v>
      </c>
      <c r="J2179">
        <f t="shared" ref="J2179:J2194" si="34">MAX(E2179:I2179)</f>
        <v>44.98</v>
      </c>
    </row>
    <row r="2180" spans="1:10" x14ac:dyDescent="0.25">
      <c r="A2180" t="s">
        <v>300</v>
      </c>
      <c r="B2180" t="s">
        <v>301</v>
      </c>
      <c r="C2180" t="s">
        <v>16</v>
      </c>
      <c r="D2180" t="s">
        <v>17</v>
      </c>
      <c r="G2180">
        <v>52.48</v>
      </c>
      <c r="J2180">
        <f t="shared" si="34"/>
        <v>52.48</v>
      </c>
    </row>
    <row r="2181" spans="1:10" x14ac:dyDescent="0.25">
      <c r="A2181" t="s">
        <v>300</v>
      </c>
      <c r="B2181" t="s">
        <v>301</v>
      </c>
      <c r="C2181" t="s">
        <v>18</v>
      </c>
      <c r="D2181" t="s">
        <v>19</v>
      </c>
      <c r="G2181">
        <v>32.909999999999997</v>
      </c>
      <c r="J2181">
        <f t="shared" si="34"/>
        <v>32.909999999999997</v>
      </c>
    </row>
    <row r="2182" spans="1:10" x14ac:dyDescent="0.25">
      <c r="A2182" t="s">
        <v>300</v>
      </c>
      <c r="B2182" t="s">
        <v>301</v>
      </c>
      <c r="C2182" t="s">
        <v>20</v>
      </c>
      <c r="D2182" t="s">
        <v>21</v>
      </c>
      <c r="G2182">
        <v>44.51</v>
      </c>
      <c r="J2182">
        <f t="shared" si="34"/>
        <v>44.51</v>
      </c>
    </row>
    <row r="2183" spans="1:10" x14ac:dyDescent="0.25">
      <c r="A2183" t="s">
        <v>300</v>
      </c>
      <c r="B2183" t="s">
        <v>301</v>
      </c>
      <c r="C2183" t="s">
        <v>22</v>
      </c>
      <c r="D2183" t="s">
        <v>23</v>
      </c>
      <c r="G2183">
        <v>33.020000000000003</v>
      </c>
      <c r="J2183">
        <f t="shared" si="34"/>
        <v>33.020000000000003</v>
      </c>
    </row>
    <row r="2184" spans="1:10" x14ac:dyDescent="0.25">
      <c r="A2184" t="s">
        <v>300</v>
      </c>
      <c r="B2184" t="s">
        <v>301</v>
      </c>
      <c r="C2184" t="s">
        <v>24</v>
      </c>
      <c r="D2184" t="s">
        <v>25</v>
      </c>
      <c r="J2184">
        <f t="shared" si="34"/>
        <v>0</v>
      </c>
    </row>
    <row r="2185" spans="1:10" x14ac:dyDescent="0.25">
      <c r="A2185" t="s">
        <v>300</v>
      </c>
      <c r="B2185" t="s">
        <v>301</v>
      </c>
      <c r="C2185" t="s">
        <v>26</v>
      </c>
      <c r="D2185" t="s">
        <v>27</v>
      </c>
      <c r="E2185">
        <v>9.6</v>
      </c>
      <c r="J2185">
        <f t="shared" si="34"/>
        <v>9.6</v>
      </c>
    </row>
    <row r="2186" spans="1:10" x14ac:dyDescent="0.25">
      <c r="A2186" t="s">
        <v>300</v>
      </c>
      <c r="B2186" t="s">
        <v>301</v>
      </c>
      <c r="C2186" t="s">
        <v>28</v>
      </c>
      <c r="D2186" t="s">
        <v>29</v>
      </c>
      <c r="E2186">
        <v>4</v>
      </c>
      <c r="J2186">
        <f t="shared" si="34"/>
        <v>4</v>
      </c>
    </row>
    <row r="2187" spans="1:10" x14ac:dyDescent="0.25">
      <c r="A2187" t="s">
        <v>300</v>
      </c>
      <c r="B2187" t="s">
        <v>301</v>
      </c>
      <c r="C2187" t="s">
        <v>30</v>
      </c>
      <c r="D2187" t="s">
        <v>31</v>
      </c>
      <c r="E2187">
        <v>61.930117381665298</v>
      </c>
      <c r="F2187">
        <v>103.54315235027001</v>
      </c>
      <c r="G2187">
        <v>71.411176168638306</v>
      </c>
      <c r="J2187">
        <f t="shared" si="34"/>
        <v>103.54315235027001</v>
      </c>
    </row>
    <row r="2188" spans="1:10" x14ac:dyDescent="0.25">
      <c r="A2188" t="s">
        <v>300</v>
      </c>
      <c r="B2188" t="s">
        <v>301</v>
      </c>
      <c r="C2188" t="s">
        <v>32</v>
      </c>
      <c r="D2188" t="s">
        <v>33</v>
      </c>
      <c r="E2188">
        <v>7</v>
      </c>
      <c r="F2188">
        <v>7</v>
      </c>
      <c r="G2188">
        <v>7</v>
      </c>
      <c r="H2188">
        <v>7</v>
      </c>
      <c r="I2188">
        <v>7</v>
      </c>
      <c r="J2188">
        <f t="shared" si="34"/>
        <v>7</v>
      </c>
    </row>
    <row r="2189" spans="1:10" x14ac:dyDescent="0.25">
      <c r="A2189" t="s">
        <v>300</v>
      </c>
      <c r="B2189" t="s">
        <v>301</v>
      </c>
      <c r="C2189" t="s">
        <v>34</v>
      </c>
      <c r="D2189" t="s">
        <v>35</v>
      </c>
      <c r="E2189">
        <v>27.619047164916999</v>
      </c>
      <c r="F2189">
        <v>26.190475463867202</v>
      </c>
      <c r="G2189">
        <v>25.7142848968506</v>
      </c>
      <c r="H2189">
        <v>34.433963775634801</v>
      </c>
      <c r="I2189">
        <v>36.792453765869098</v>
      </c>
      <c r="J2189">
        <f t="shared" si="34"/>
        <v>36.792453765869098</v>
      </c>
    </row>
    <row r="2190" spans="1:10" x14ac:dyDescent="0.25">
      <c r="A2190" t="s">
        <v>300</v>
      </c>
      <c r="B2190" t="s">
        <v>301</v>
      </c>
      <c r="C2190" t="s">
        <v>36</v>
      </c>
      <c r="D2190" t="s">
        <v>37</v>
      </c>
      <c r="J2190">
        <f t="shared" si="34"/>
        <v>0</v>
      </c>
    </row>
    <row r="2191" spans="1:10" x14ac:dyDescent="0.25">
      <c r="A2191" t="s">
        <v>300</v>
      </c>
      <c r="B2191" t="s">
        <v>301</v>
      </c>
      <c r="C2191" t="s">
        <v>38</v>
      </c>
      <c r="D2191" t="s">
        <v>39</v>
      </c>
      <c r="J2191">
        <f t="shared" si="34"/>
        <v>0</v>
      </c>
    </row>
    <row r="2192" spans="1:10" x14ac:dyDescent="0.25">
      <c r="A2192" t="s">
        <v>300</v>
      </c>
      <c r="B2192" t="s">
        <v>301</v>
      </c>
      <c r="C2192" t="s">
        <v>40</v>
      </c>
      <c r="D2192" t="s">
        <v>41</v>
      </c>
      <c r="E2192">
        <v>66.220286999999999</v>
      </c>
      <c r="F2192">
        <v>67.260429000000002</v>
      </c>
      <c r="G2192">
        <v>64.584766000000002</v>
      </c>
      <c r="H2192">
        <v>71.401929999999993</v>
      </c>
      <c r="J2192">
        <f t="shared" si="34"/>
        <v>71.401929999999993</v>
      </c>
    </row>
    <row r="2193" spans="1:10" x14ac:dyDescent="0.25">
      <c r="A2193" t="s">
        <v>300</v>
      </c>
      <c r="B2193" t="s">
        <v>301</v>
      </c>
      <c r="C2193" t="s">
        <v>42</v>
      </c>
      <c r="D2193" t="s">
        <v>43</v>
      </c>
      <c r="J2193">
        <f t="shared" si="34"/>
        <v>0</v>
      </c>
    </row>
    <row r="2194" spans="1:10" x14ac:dyDescent="0.25">
      <c r="A2194" t="s">
        <v>300</v>
      </c>
      <c r="B2194" t="s">
        <v>301</v>
      </c>
      <c r="C2194" t="s">
        <v>44</v>
      </c>
      <c r="D2194" t="s">
        <v>45</v>
      </c>
      <c r="E2194">
        <v>8.5</v>
      </c>
      <c r="J2194">
        <f t="shared" si="34"/>
        <v>8.5</v>
      </c>
    </row>
    <row r="2198" spans="1:10" x14ac:dyDescent="0.25">
      <c r="A2198" t="s">
        <v>302</v>
      </c>
    </row>
    <row r="2199" spans="1:10" x14ac:dyDescent="0.25">
      <c r="A2199" t="s">
        <v>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93DF-5896-4287-8817-A9317B9071D6}">
  <sheetPr filterMode="1"/>
  <dimension ref="A1:P231"/>
  <sheetViews>
    <sheetView topLeftCell="A44" workbookViewId="0">
      <selection activeCell="A85" sqref="A85"/>
    </sheetView>
  </sheetViews>
  <sheetFormatPr defaultRowHeight="15" x14ac:dyDescent="0.25"/>
  <cols>
    <col min="1" max="1" width="25.5703125" customWidth="1"/>
    <col min="3" max="3" width="16.42578125" customWidth="1"/>
  </cols>
  <sheetData>
    <row r="1" spans="1:16" x14ac:dyDescent="0.25">
      <c r="A1" t="s">
        <v>2</v>
      </c>
      <c r="B1" t="s">
        <v>3</v>
      </c>
      <c r="C1" t="s">
        <v>0</v>
      </c>
      <c r="D1" t="s">
        <v>1</v>
      </c>
      <c r="E1" t="s">
        <v>515</v>
      </c>
      <c r="F1" t="s">
        <v>514</v>
      </c>
      <c r="G1" t="s">
        <v>513</v>
      </c>
      <c r="H1" t="s">
        <v>512</v>
      </c>
      <c r="I1" t="s">
        <v>511</v>
      </c>
      <c r="J1" t="s">
        <v>510</v>
      </c>
      <c r="K1" t="s">
        <v>509</v>
      </c>
      <c r="L1" t="s">
        <v>508</v>
      </c>
      <c r="M1" t="s">
        <v>507</v>
      </c>
      <c r="N1" t="s">
        <v>4</v>
      </c>
      <c r="O1" t="s">
        <v>5</v>
      </c>
      <c r="P1" t="s">
        <v>6</v>
      </c>
    </row>
    <row r="2" spans="1:16" hidden="1" x14ac:dyDescent="0.25">
      <c r="A2" t="s">
        <v>316</v>
      </c>
      <c r="B2" t="s">
        <v>315</v>
      </c>
      <c r="C2" t="s">
        <v>506</v>
      </c>
      <c r="D2" t="s">
        <v>505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  <c r="O2" t="s">
        <v>13</v>
      </c>
      <c r="P2" t="s">
        <v>13</v>
      </c>
    </row>
    <row r="3" spans="1:16" hidden="1" x14ac:dyDescent="0.25">
      <c r="A3" t="s">
        <v>316</v>
      </c>
      <c r="B3" t="s">
        <v>315</v>
      </c>
      <c r="C3" t="s">
        <v>504</v>
      </c>
      <c r="D3" t="s">
        <v>503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</row>
    <row r="4" spans="1:16" hidden="1" x14ac:dyDescent="0.25">
      <c r="A4" t="s">
        <v>316</v>
      </c>
      <c r="B4" t="s">
        <v>315</v>
      </c>
      <c r="C4" t="s">
        <v>502</v>
      </c>
      <c r="D4" t="s">
        <v>501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</row>
    <row r="5" spans="1:16" hidden="1" x14ac:dyDescent="0.25">
      <c r="A5" t="s">
        <v>316</v>
      </c>
      <c r="B5" t="s">
        <v>315</v>
      </c>
      <c r="C5" t="s">
        <v>500</v>
      </c>
      <c r="D5" t="s">
        <v>499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</row>
    <row r="6" spans="1:16" hidden="1" x14ac:dyDescent="0.25">
      <c r="A6" t="s">
        <v>316</v>
      </c>
      <c r="B6" t="s">
        <v>315</v>
      </c>
      <c r="C6" t="s">
        <v>498</v>
      </c>
      <c r="D6" t="s">
        <v>497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</row>
    <row r="7" spans="1:16" hidden="1" x14ac:dyDescent="0.25">
      <c r="A7" t="s">
        <v>316</v>
      </c>
      <c r="B7" t="s">
        <v>315</v>
      </c>
      <c r="C7" t="s">
        <v>496</v>
      </c>
      <c r="D7" t="s">
        <v>495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</row>
    <row r="8" spans="1:16" hidden="1" x14ac:dyDescent="0.25">
      <c r="A8" t="s">
        <v>316</v>
      </c>
      <c r="B8" t="s">
        <v>315</v>
      </c>
      <c r="C8" t="s">
        <v>494</v>
      </c>
      <c r="D8" t="s">
        <v>493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</row>
    <row r="9" spans="1:16" hidden="1" x14ac:dyDescent="0.25">
      <c r="A9" t="s">
        <v>316</v>
      </c>
      <c r="B9" t="s">
        <v>315</v>
      </c>
      <c r="C9" t="s">
        <v>492</v>
      </c>
      <c r="D9" t="s">
        <v>491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</row>
    <row r="10" spans="1:16" hidden="1" x14ac:dyDescent="0.25">
      <c r="A10" t="s">
        <v>316</v>
      </c>
      <c r="B10" t="s">
        <v>315</v>
      </c>
      <c r="C10" t="s">
        <v>490</v>
      </c>
      <c r="D10" t="s">
        <v>489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</row>
    <row r="11" spans="1:16" hidden="1" x14ac:dyDescent="0.25">
      <c r="A11" t="s">
        <v>316</v>
      </c>
      <c r="B11" t="s">
        <v>315</v>
      </c>
      <c r="C11" t="s">
        <v>488</v>
      </c>
      <c r="D11" t="s">
        <v>487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</row>
    <row r="12" spans="1:16" x14ac:dyDescent="0.25">
      <c r="A12" t="s">
        <v>316</v>
      </c>
      <c r="B12" t="s">
        <v>315</v>
      </c>
      <c r="C12" t="s">
        <v>9</v>
      </c>
      <c r="D12" t="s">
        <v>10</v>
      </c>
      <c r="E12" t="s">
        <v>13</v>
      </c>
      <c r="F12" t="s">
        <v>13</v>
      </c>
      <c r="G12">
        <v>18.893660000000001</v>
      </c>
      <c r="H12">
        <v>18.986889999999999</v>
      </c>
      <c r="I12">
        <v>16.594609999999999</v>
      </c>
      <c r="J12">
        <v>16.86543</v>
      </c>
      <c r="K12">
        <v>19.556509999999999</v>
      </c>
      <c r="L12">
        <v>17.73415</v>
      </c>
      <c r="M12">
        <v>17.003720000000001</v>
      </c>
      <c r="N12">
        <v>19.31851</v>
      </c>
      <c r="O12">
        <v>17.682960000000001</v>
      </c>
      <c r="P12">
        <v>24.915610000000001</v>
      </c>
    </row>
    <row r="13" spans="1:16" x14ac:dyDescent="0.25">
      <c r="A13" t="s">
        <v>316</v>
      </c>
      <c r="B13" t="s">
        <v>315</v>
      </c>
      <c r="C13" t="s">
        <v>486</v>
      </c>
      <c r="D13" t="s">
        <v>485</v>
      </c>
      <c r="E13" t="s">
        <v>13</v>
      </c>
      <c r="F13">
        <v>22.70429</v>
      </c>
      <c r="G13">
        <v>22.321339999999999</v>
      </c>
      <c r="H13">
        <v>22.087340000000001</v>
      </c>
      <c r="I13">
        <v>22.153079999999999</v>
      </c>
      <c r="J13">
        <v>22.149529999999999</v>
      </c>
      <c r="K13">
        <v>23.780670000000001</v>
      </c>
      <c r="L13">
        <v>21.704699999999999</v>
      </c>
      <c r="M13">
        <v>19.981829999999999</v>
      </c>
      <c r="N13">
        <v>20.550719999999998</v>
      </c>
      <c r="O13">
        <v>20.24314</v>
      </c>
      <c r="P13">
        <v>19.056080000000001</v>
      </c>
    </row>
    <row r="14" spans="1:16" hidden="1" x14ac:dyDescent="0.25">
      <c r="A14" t="s">
        <v>316</v>
      </c>
      <c r="B14" t="s">
        <v>315</v>
      </c>
      <c r="C14" t="s">
        <v>46</v>
      </c>
      <c r="D14" t="s">
        <v>47</v>
      </c>
      <c r="E14" t="s">
        <v>13</v>
      </c>
      <c r="F14">
        <v>8.7889440000000008</v>
      </c>
      <c r="G14">
        <v>20.490089999999999</v>
      </c>
      <c r="H14">
        <v>20.547170000000001</v>
      </c>
      <c r="I14">
        <v>18.820340000000002</v>
      </c>
      <c r="J14">
        <v>19.96733</v>
      </c>
      <c r="K14">
        <v>22.13776</v>
      </c>
      <c r="L14">
        <v>23.121420000000001</v>
      </c>
      <c r="M14">
        <v>24.289660000000001</v>
      </c>
      <c r="N14">
        <v>22.435649999999999</v>
      </c>
      <c r="O14">
        <v>24.822320000000001</v>
      </c>
      <c r="P14" t="s">
        <v>13</v>
      </c>
    </row>
    <row r="15" spans="1:16" hidden="1" x14ac:dyDescent="0.25">
      <c r="A15" t="s">
        <v>316</v>
      </c>
      <c r="B15" t="s">
        <v>315</v>
      </c>
      <c r="C15" t="s">
        <v>484</v>
      </c>
      <c r="D15" t="s">
        <v>483</v>
      </c>
      <c r="E15" t="s">
        <v>13</v>
      </c>
      <c r="F15">
        <v>32.942709999999998</v>
      </c>
      <c r="G15">
        <v>28.4331</v>
      </c>
      <c r="H15">
        <v>29.631450000000001</v>
      </c>
      <c r="I15">
        <v>28.305160000000001</v>
      </c>
      <c r="J15">
        <v>31.501149999999999</v>
      </c>
      <c r="K15">
        <v>21.043859999999999</v>
      </c>
      <c r="L15">
        <v>25.390930000000001</v>
      </c>
      <c r="M15">
        <v>25.15558</v>
      </c>
      <c r="N15">
        <v>27.464929999999999</v>
      </c>
      <c r="O15">
        <v>29.139489999999999</v>
      </c>
      <c r="P15" t="s">
        <v>13</v>
      </c>
    </row>
    <row r="16" spans="1:16" x14ac:dyDescent="0.25">
      <c r="A16" t="s">
        <v>316</v>
      </c>
      <c r="B16" t="s">
        <v>315</v>
      </c>
      <c r="C16" t="s">
        <v>52</v>
      </c>
      <c r="D16" t="s">
        <v>53</v>
      </c>
      <c r="E16" t="s">
        <v>13</v>
      </c>
      <c r="F16" t="s">
        <v>13</v>
      </c>
      <c r="G16">
        <v>9.03674</v>
      </c>
      <c r="H16">
        <v>9.4551440000000007</v>
      </c>
      <c r="I16">
        <v>8.5644360000000006</v>
      </c>
      <c r="J16">
        <v>8.2766999999999999</v>
      </c>
      <c r="K16">
        <v>8.2265189999999997</v>
      </c>
      <c r="L16">
        <v>8.9758309999999994</v>
      </c>
      <c r="M16">
        <v>12.036429999999999</v>
      </c>
      <c r="N16">
        <v>15.27698</v>
      </c>
      <c r="O16">
        <v>8.4428699999999992</v>
      </c>
      <c r="P16">
        <v>15.548360000000001</v>
      </c>
    </row>
    <row r="17" spans="1:16" hidden="1" x14ac:dyDescent="0.25">
      <c r="A17" t="s">
        <v>316</v>
      </c>
      <c r="B17" t="s">
        <v>315</v>
      </c>
      <c r="C17" t="s">
        <v>482</v>
      </c>
      <c r="D17" t="s">
        <v>481</v>
      </c>
      <c r="E17" t="s">
        <v>13</v>
      </c>
      <c r="F17">
        <v>18.29223</v>
      </c>
      <c r="G17" t="s">
        <v>13</v>
      </c>
      <c r="H17" t="s">
        <v>13</v>
      </c>
      <c r="I17" t="s">
        <v>13</v>
      </c>
      <c r="J17" t="s">
        <v>13</v>
      </c>
      <c r="K17" t="s">
        <v>13</v>
      </c>
      <c r="L17" t="s">
        <v>13</v>
      </c>
      <c r="M17" t="s">
        <v>13</v>
      </c>
      <c r="N17" t="s">
        <v>13</v>
      </c>
      <c r="O17" t="s">
        <v>13</v>
      </c>
      <c r="P17" t="s">
        <v>13</v>
      </c>
    </row>
    <row r="18" spans="1:16" x14ac:dyDescent="0.25">
      <c r="A18" t="s">
        <v>316</v>
      </c>
      <c r="B18" t="s">
        <v>315</v>
      </c>
      <c r="C18" t="s">
        <v>54</v>
      </c>
      <c r="D18" t="s">
        <v>55</v>
      </c>
      <c r="E18" t="s">
        <v>13</v>
      </c>
      <c r="F18">
        <v>4.9154119999999999</v>
      </c>
      <c r="G18">
        <v>7.4976330000000004</v>
      </c>
      <c r="H18">
        <v>7.6553399999999998</v>
      </c>
      <c r="I18">
        <v>8.4206000000000003</v>
      </c>
      <c r="J18">
        <v>8.4486190000000008</v>
      </c>
      <c r="K18">
        <v>7.4267130000000003</v>
      </c>
      <c r="L18">
        <v>7.5061299999999997</v>
      </c>
      <c r="M18">
        <v>7.2193899999999998</v>
      </c>
      <c r="N18">
        <v>9.317062</v>
      </c>
      <c r="O18">
        <v>9.2494639999999997</v>
      </c>
      <c r="P18">
        <v>9.0834209999999995</v>
      </c>
    </row>
    <row r="19" spans="1:16" x14ac:dyDescent="0.25">
      <c r="A19" t="s">
        <v>316</v>
      </c>
      <c r="B19" t="s">
        <v>315</v>
      </c>
      <c r="C19" t="s">
        <v>480</v>
      </c>
      <c r="D19" t="s">
        <v>479</v>
      </c>
      <c r="E19" t="s">
        <v>13</v>
      </c>
      <c r="F19">
        <v>9.3004730000000002</v>
      </c>
      <c r="G19">
        <v>16.440000000000001</v>
      </c>
      <c r="H19">
        <v>15.405150000000001</v>
      </c>
      <c r="I19">
        <v>13.384359999999999</v>
      </c>
      <c r="J19">
        <v>13.70702</v>
      </c>
      <c r="K19">
        <v>14.90953</v>
      </c>
      <c r="L19">
        <v>14.888439999999999</v>
      </c>
      <c r="M19">
        <v>14.4391</v>
      </c>
      <c r="N19">
        <v>14.264799999999999</v>
      </c>
      <c r="O19">
        <v>12.8254</v>
      </c>
      <c r="P19">
        <v>12.319240000000001</v>
      </c>
    </row>
    <row r="20" spans="1:16" hidden="1" x14ac:dyDescent="0.25">
      <c r="A20" t="s">
        <v>316</v>
      </c>
      <c r="B20" t="s">
        <v>315</v>
      </c>
      <c r="C20" t="s">
        <v>478</v>
      </c>
      <c r="D20" t="s">
        <v>477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  <c r="K20" t="s">
        <v>13</v>
      </c>
      <c r="L20" t="s">
        <v>13</v>
      </c>
      <c r="M20" t="s">
        <v>13</v>
      </c>
      <c r="N20" t="s">
        <v>13</v>
      </c>
      <c r="O20" t="s">
        <v>13</v>
      </c>
      <c r="P20" t="s">
        <v>13</v>
      </c>
    </row>
    <row r="21" spans="1:16" x14ac:dyDescent="0.25">
      <c r="A21" t="s">
        <v>316</v>
      </c>
      <c r="B21" t="s">
        <v>315</v>
      </c>
      <c r="C21" t="s">
        <v>56</v>
      </c>
      <c r="D21" t="s">
        <v>57</v>
      </c>
      <c r="E21" t="s">
        <v>13</v>
      </c>
      <c r="F21">
        <v>10.741</v>
      </c>
      <c r="G21">
        <v>13.89547</v>
      </c>
      <c r="H21">
        <v>13.737869999999999</v>
      </c>
      <c r="I21">
        <v>13.48903</v>
      </c>
      <c r="J21">
        <v>13.331519999999999</v>
      </c>
      <c r="K21">
        <v>12.99751</v>
      </c>
      <c r="L21">
        <v>13.639419999999999</v>
      </c>
      <c r="M21">
        <v>13.970050000000001</v>
      </c>
      <c r="N21">
        <v>13.46988</v>
      </c>
      <c r="O21">
        <v>13.24647</v>
      </c>
      <c r="P21">
        <v>14.14526</v>
      </c>
    </row>
    <row r="22" spans="1:16" x14ac:dyDescent="0.25">
      <c r="A22" t="s">
        <v>316</v>
      </c>
      <c r="B22" t="s">
        <v>315</v>
      </c>
      <c r="C22" t="s">
        <v>58</v>
      </c>
      <c r="D22" t="s">
        <v>59</v>
      </c>
      <c r="E22" t="s">
        <v>13</v>
      </c>
      <c r="F22">
        <v>19.72025</v>
      </c>
      <c r="G22">
        <v>22.591560000000001</v>
      </c>
      <c r="H22">
        <v>27.50797</v>
      </c>
      <c r="I22">
        <v>26.820640000000001</v>
      </c>
      <c r="J22">
        <v>30.079129999999999</v>
      </c>
      <c r="K22">
        <v>32.523420000000002</v>
      </c>
      <c r="L22">
        <v>34.547820000000002</v>
      </c>
      <c r="M22">
        <v>35.684049999999999</v>
      </c>
      <c r="N22">
        <v>36.666150000000002</v>
      </c>
      <c r="O22">
        <v>31.842110000000002</v>
      </c>
      <c r="P22">
        <v>30.90653</v>
      </c>
    </row>
    <row r="23" spans="1:16" x14ac:dyDescent="0.25">
      <c r="A23" t="s">
        <v>316</v>
      </c>
      <c r="B23" t="s">
        <v>315</v>
      </c>
      <c r="C23" t="s">
        <v>60</v>
      </c>
      <c r="D23" t="s">
        <v>61</v>
      </c>
      <c r="E23" t="s">
        <v>13</v>
      </c>
      <c r="F23">
        <v>7.1947229999999998</v>
      </c>
      <c r="G23">
        <v>5.0903340000000004</v>
      </c>
      <c r="H23">
        <v>5.775506</v>
      </c>
      <c r="I23">
        <v>6.5747470000000003</v>
      </c>
      <c r="J23">
        <v>1.471681</v>
      </c>
      <c r="K23">
        <v>3.811226</v>
      </c>
      <c r="L23">
        <v>5.9792350000000001</v>
      </c>
      <c r="M23">
        <v>5.460769</v>
      </c>
      <c r="N23">
        <v>5.4266639999999997</v>
      </c>
      <c r="O23">
        <v>5.3901399999999997</v>
      </c>
      <c r="P23">
        <v>4.7446820000000001</v>
      </c>
    </row>
    <row r="24" spans="1:16" x14ac:dyDescent="0.25">
      <c r="A24" t="s">
        <v>316</v>
      </c>
      <c r="B24" t="s">
        <v>315</v>
      </c>
      <c r="C24" t="s">
        <v>62</v>
      </c>
      <c r="D24" t="s">
        <v>63</v>
      </c>
      <c r="E24" t="s">
        <v>13</v>
      </c>
      <c r="F24">
        <v>16.780180000000001</v>
      </c>
      <c r="G24">
        <v>17.84337</v>
      </c>
      <c r="H24">
        <v>17.168410000000002</v>
      </c>
      <c r="I24">
        <v>12.99366</v>
      </c>
      <c r="J24">
        <v>15.271800000000001</v>
      </c>
      <c r="K24">
        <v>16.340869999999999</v>
      </c>
      <c r="L24">
        <v>17.445900000000002</v>
      </c>
      <c r="M24">
        <v>17.775079999999999</v>
      </c>
      <c r="N24">
        <v>15.695220000000001</v>
      </c>
      <c r="O24">
        <v>13.54524</v>
      </c>
      <c r="P24">
        <v>13.22551</v>
      </c>
    </row>
    <row r="25" spans="1:16" x14ac:dyDescent="0.25">
      <c r="A25" t="s">
        <v>316</v>
      </c>
      <c r="B25" t="s">
        <v>315</v>
      </c>
      <c r="C25" t="s">
        <v>64</v>
      </c>
      <c r="D25" t="s">
        <v>65</v>
      </c>
      <c r="E25" t="s">
        <v>13</v>
      </c>
      <c r="F25">
        <v>6.6920489999999999</v>
      </c>
      <c r="G25">
        <v>7.4850669999999999</v>
      </c>
      <c r="H25">
        <v>8.0695700000000006</v>
      </c>
      <c r="I25">
        <v>8.1078290000000006</v>
      </c>
      <c r="J25">
        <v>8.3116629999999994</v>
      </c>
      <c r="K25">
        <v>8.6602329999999998</v>
      </c>
      <c r="L25">
        <v>8.8246029999999998</v>
      </c>
      <c r="M25">
        <v>8.3429599999999997</v>
      </c>
      <c r="N25">
        <v>8.8554960000000005</v>
      </c>
      <c r="O25">
        <v>7.4347310000000002</v>
      </c>
      <c r="P25">
        <v>7.8142750000000003</v>
      </c>
    </row>
    <row r="26" spans="1:16" x14ac:dyDescent="0.25">
      <c r="A26" t="s">
        <v>316</v>
      </c>
      <c r="B26" t="s">
        <v>315</v>
      </c>
      <c r="C26" t="s">
        <v>66</v>
      </c>
      <c r="D26" t="s">
        <v>67</v>
      </c>
      <c r="E26" t="s">
        <v>13</v>
      </c>
      <c r="F26">
        <v>13.401770000000001</v>
      </c>
      <c r="G26">
        <v>15.32456</v>
      </c>
      <c r="H26">
        <v>17.395949999999999</v>
      </c>
      <c r="I26">
        <v>16.547609999999999</v>
      </c>
      <c r="J26">
        <v>17.405609999999999</v>
      </c>
      <c r="K26">
        <v>14.907640000000001</v>
      </c>
      <c r="L26">
        <v>14.76704</v>
      </c>
      <c r="M26">
        <v>14.116070000000001</v>
      </c>
      <c r="N26">
        <v>14.012499999999999</v>
      </c>
      <c r="O26">
        <v>13.648479999999999</v>
      </c>
      <c r="P26">
        <v>12.7788</v>
      </c>
    </row>
    <row r="27" spans="1:16" x14ac:dyDescent="0.25">
      <c r="A27" t="s">
        <v>316</v>
      </c>
      <c r="B27" t="s">
        <v>315</v>
      </c>
      <c r="C27" t="s">
        <v>68</v>
      </c>
      <c r="D27" t="s">
        <v>69</v>
      </c>
      <c r="E27" t="s">
        <v>13</v>
      </c>
      <c r="F27">
        <v>16.32253</v>
      </c>
      <c r="G27">
        <v>16.24925</v>
      </c>
      <c r="H27">
        <v>17.491969999999998</v>
      </c>
      <c r="I27">
        <v>18.664390000000001</v>
      </c>
      <c r="J27">
        <v>16.59562</v>
      </c>
      <c r="K27">
        <v>17.068300000000001</v>
      </c>
      <c r="L27">
        <v>14.93573</v>
      </c>
      <c r="M27" t="s">
        <v>13</v>
      </c>
      <c r="N27" t="s">
        <v>13</v>
      </c>
      <c r="O27">
        <v>13.33107</v>
      </c>
      <c r="P27">
        <v>13.957700000000001</v>
      </c>
    </row>
    <row r="28" spans="1:16" x14ac:dyDescent="0.25">
      <c r="A28" t="s">
        <v>316</v>
      </c>
      <c r="B28" t="s">
        <v>315</v>
      </c>
      <c r="C28" t="s">
        <v>70</v>
      </c>
      <c r="D28" t="s">
        <v>71</v>
      </c>
      <c r="E28" t="s">
        <v>13</v>
      </c>
      <c r="F28">
        <v>37.272869999999998</v>
      </c>
      <c r="G28">
        <v>20.060169999999999</v>
      </c>
      <c r="H28">
        <v>20.094069999999999</v>
      </c>
      <c r="I28">
        <v>19.877079999999999</v>
      </c>
      <c r="J28">
        <v>16.103059999999999</v>
      </c>
      <c r="K28">
        <v>16.978899999999999</v>
      </c>
      <c r="L28">
        <v>18.702590000000001</v>
      </c>
      <c r="M28">
        <v>18.868870000000001</v>
      </c>
      <c r="N28">
        <v>18.61382</v>
      </c>
      <c r="O28">
        <v>17.6692</v>
      </c>
      <c r="P28">
        <v>17.123950000000001</v>
      </c>
    </row>
    <row r="29" spans="1:16" x14ac:dyDescent="0.25">
      <c r="A29" t="s">
        <v>316</v>
      </c>
      <c r="B29" t="s">
        <v>315</v>
      </c>
      <c r="C29" t="s">
        <v>72</v>
      </c>
      <c r="D29" t="s">
        <v>73</v>
      </c>
      <c r="E29" t="s">
        <v>13</v>
      </c>
      <c r="F29">
        <v>7.8821409999999998</v>
      </c>
      <c r="G29">
        <v>12.447050000000001</v>
      </c>
      <c r="H29">
        <v>14.237360000000001</v>
      </c>
      <c r="I29">
        <v>14.36594</v>
      </c>
      <c r="J29">
        <v>15.67043</v>
      </c>
      <c r="K29">
        <v>16.37894</v>
      </c>
      <c r="L29">
        <v>18.166679999999999</v>
      </c>
      <c r="M29">
        <v>17.782039999999999</v>
      </c>
      <c r="N29">
        <v>18.254079999999998</v>
      </c>
      <c r="O29">
        <v>16.525759999999998</v>
      </c>
      <c r="P29">
        <v>15.448499999999999</v>
      </c>
    </row>
    <row r="30" spans="1:16" hidden="1" x14ac:dyDescent="0.25">
      <c r="A30" t="s">
        <v>316</v>
      </c>
      <c r="B30" t="s">
        <v>315</v>
      </c>
      <c r="C30" t="s">
        <v>476</v>
      </c>
      <c r="D30" t="s">
        <v>475</v>
      </c>
      <c r="E30" t="s">
        <v>13</v>
      </c>
      <c r="F30" t="s">
        <v>13</v>
      </c>
      <c r="G30" t="s">
        <v>13</v>
      </c>
      <c r="H30" t="s">
        <v>13</v>
      </c>
      <c r="I30" t="s">
        <v>13</v>
      </c>
      <c r="J30">
        <v>8.8338389999999993</v>
      </c>
      <c r="K30">
        <v>8.1813059999999993</v>
      </c>
      <c r="L30">
        <v>10.251670000000001</v>
      </c>
      <c r="M30">
        <v>10.3004</v>
      </c>
      <c r="N30">
        <v>9.8172259999999998</v>
      </c>
      <c r="O30">
        <v>6.7730709999999998</v>
      </c>
      <c r="P30" t="s">
        <v>13</v>
      </c>
    </row>
    <row r="31" spans="1:16" hidden="1" x14ac:dyDescent="0.25">
      <c r="A31" t="s">
        <v>316</v>
      </c>
      <c r="B31" t="s">
        <v>315</v>
      </c>
      <c r="C31" t="s">
        <v>474</v>
      </c>
      <c r="D31" t="s">
        <v>473</v>
      </c>
      <c r="E31" t="s">
        <v>13</v>
      </c>
      <c r="F31">
        <v>12.918559999999999</v>
      </c>
      <c r="G31">
        <v>14.32835</v>
      </c>
      <c r="H31">
        <v>12.028600000000001</v>
      </c>
      <c r="I31" t="s">
        <v>13</v>
      </c>
      <c r="J31">
        <v>9.922345</v>
      </c>
      <c r="K31">
        <v>8.6086749999999999</v>
      </c>
      <c r="L31">
        <v>7.8383640000000003</v>
      </c>
      <c r="M31">
        <v>11.88513</v>
      </c>
      <c r="N31">
        <v>11.901619999999999</v>
      </c>
      <c r="O31" t="s">
        <v>13</v>
      </c>
      <c r="P31" t="s">
        <v>13</v>
      </c>
    </row>
    <row r="32" spans="1:16" x14ac:dyDescent="0.25">
      <c r="A32" t="s">
        <v>316</v>
      </c>
      <c r="B32" t="s">
        <v>315</v>
      </c>
      <c r="C32" t="s">
        <v>74</v>
      </c>
      <c r="D32" t="s">
        <v>75</v>
      </c>
      <c r="E32" t="s">
        <v>13</v>
      </c>
      <c r="F32" t="s">
        <v>13</v>
      </c>
      <c r="G32">
        <v>25.207270000000001</v>
      </c>
      <c r="H32">
        <v>19.625589999999999</v>
      </c>
      <c r="I32">
        <v>22.036059999999999</v>
      </c>
      <c r="J32">
        <v>22.614000000000001</v>
      </c>
      <c r="K32">
        <v>21.169910000000002</v>
      </c>
      <c r="L32">
        <v>23.828679999999999</v>
      </c>
      <c r="M32">
        <v>26.095179999999999</v>
      </c>
      <c r="N32">
        <v>22.26934</v>
      </c>
      <c r="O32">
        <v>20.187159999999999</v>
      </c>
      <c r="P32">
        <v>18.728090000000002</v>
      </c>
    </row>
    <row r="33" spans="1:16" x14ac:dyDescent="0.25">
      <c r="A33" t="s">
        <v>316</v>
      </c>
      <c r="B33" t="s">
        <v>315</v>
      </c>
      <c r="C33" t="s">
        <v>76</v>
      </c>
      <c r="D33" t="s">
        <v>77</v>
      </c>
      <c r="E33" t="s">
        <v>13</v>
      </c>
      <c r="F33" t="s">
        <v>13</v>
      </c>
      <c r="G33" t="s">
        <v>13</v>
      </c>
      <c r="H33">
        <v>23.081029999999998</v>
      </c>
      <c r="I33">
        <v>21.420439999999999</v>
      </c>
      <c r="J33">
        <v>21.60773</v>
      </c>
      <c r="K33">
        <v>19.429559999999999</v>
      </c>
      <c r="L33">
        <v>18.269929999999999</v>
      </c>
      <c r="M33">
        <v>18.507560000000002</v>
      </c>
      <c r="N33">
        <v>16.365919999999999</v>
      </c>
      <c r="O33">
        <v>11.20364</v>
      </c>
      <c r="P33">
        <v>12.46007</v>
      </c>
    </row>
    <row r="34" spans="1:16" x14ac:dyDescent="0.25">
      <c r="A34" t="s">
        <v>316</v>
      </c>
      <c r="B34" t="s">
        <v>315</v>
      </c>
      <c r="C34" t="s">
        <v>78</v>
      </c>
      <c r="D34" t="s">
        <v>79</v>
      </c>
      <c r="E34" t="s">
        <v>13</v>
      </c>
      <c r="F34">
        <v>10.30406</v>
      </c>
      <c r="G34">
        <v>12.220549999999999</v>
      </c>
      <c r="H34">
        <v>11.043950000000001</v>
      </c>
      <c r="I34">
        <v>10.94711</v>
      </c>
      <c r="J34">
        <v>10.186859999999999</v>
      </c>
      <c r="K34">
        <v>10.669499999999999</v>
      </c>
      <c r="L34">
        <v>9.5578000000000003</v>
      </c>
      <c r="M34">
        <v>9.2445409999999999</v>
      </c>
      <c r="N34">
        <v>9.5952369999999991</v>
      </c>
      <c r="O34">
        <v>8.1042930000000002</v>
      </c>
      <c r="P34">
        <v>8.3220639999999992</v>
      </c>
    </row>
    <row r="35" spans="1:16" x14ac:dyDescent="0.25">
      <c r="A35" t="s">
        <v>316</v>
      </c>
      <c r="B35" t="s">
        <v>315</v>
      </c>
      <c r="C35" t="s">
        <v>80</v>
      </c>
      <c r="D35" t="s">
        <v>81</v>
      </c>
      <c r="E35" t="s">
        <v>13</v>
      </c>
      <c r="F35">
        <v>22.703040000000001</v>
      </c>
      <c r="G35">
        <v>18.767109999999999</v>
      </c>
      <c r="H35">
        <v>17.760290000000001</v>
      </c>
      <c r="I35">
        <v>18.659330000000001</v>
      </c>
      <c r="J35">
        <v>17.95149</v>
      </c>
      <c r="K35">
        <v>18.512419999999999</v>
      </c>
      <c r="L35">
        <v>18.97532</v>
      </c>
      <c r="M35">
        <v>17.082380000000001</v>
      </c>
      <c r="N35">
        <v>16.796589999999998</v>
      </c>
      <c r="O35">
        <v>15.296250000000001</v>
      </c>
      <c r="P35">
        <v>15.29255</v>
      </c>
    </row>
    <row r="36" spans="1:16" x14ac:dyDescent="0.25">
      <c r="A36" t="s">
        <v>316</v>
      </c>
      <c r="B36" t="s">
        <v>315</v>
      </c>
      <c r="C36" t="s">
        <v>82</v>
      </c>
      <c r="D36" t="s">
        <v>83</v>
      </c>
      <c r="E36" t="s">
        <v>13</v>
      </c>
      <c r="F36">
        <v>9.0102390000000003</v>
      </c>
      <c r="G36">
        <v>8.9680599999999995</v>
      </c>
      <c r="H36">
        <v>9.6926959999999998</v>
      </c>
      <c r="I36">
        <v>9.3743510000000008</v>
      </c>
      <c r="J36">
        <v>8.1288009999999993</v>
      </c>
      <c r="K36">
        <v>8.4350140000000007</v>
      </c>
      <c r="L36">
        <v>8.3472349999999995</v>
      </c>
      <c r="M36">
        <v>8.3699999999999992</v>
      </c>
      <c r="N36">
        <v>8.5003729999999997</v>
      </c>
      <c r="O36">
        <v>8.2887070000000005</v>
      </c>
      <c r="P36">
        <v>9.0016440000000006</v>
      </c>
    </row>
    <row r="37" spans="1:16" x14ac:dyDescent="0.25">
      <c r="A37" t="s">
        <v>316</v>
      </c>
      <c r="B37" t="s">
        <v>315</v>
      </c>
      <c r="C37" t="s">
        <v>84</v>
      </c>
      <c r="D37" t="s">
        <v>85</v>
      </c>
      <c r="E37" t="s">
        <v>13</v>
      </c>
      <c r="F37">
        <v>15.42642</v>
      </c>
      <c r="G37">
        <v>14.96336</v>
      </c>
      <c r="H37">
        <v>14.53454</v>
      </c>
      <c r="I37">
        <v>14.765129999999999</v>
      </c>
      <c r="J37">
        <v>15.58268</v>
      </c>
      <c r="K37">
        <v>15.951129999999999</v>
      </c>
      <c r="L37">
        <v>16.985710000000001</v>
      </c>
      <c r="M37">
        <v>16.93262</v>
      </c>
      <c r="N37">
        <v>18.54721</v>
      </c>
      <c r="O37">
        <v>15.71668</v>
      </c>
      <c r="P37">
        <v>16.35463</v>
      </c>
    </row>
    <row r="38" spans="1:16" hidden="1" x14ac:dyDescent="0.25">
      <c r="A38" t="s">
        <v>316</v>
      </c>
      <c r="B38" t="s">
        <v>315</v>
      </c>
      <c r="C38" t="s">
        <v>472</v>
      </c>
      <c r="D38" t="s">
        <v>471</v>
      </c>
      <c r="E38" t="s">
        <v>13</v>
      </c>
      <c r="F38" t="s">
        <v>13</v>
      </c>
      <c r="G38" t="s">
        <v>13</v>
      </c>
      <c r="H38" t="s">
        <v>13</v>
      </c>
      <c r="I38" t="s">
        <v>13</v>
      </c>
      <c r="J38" t="s">
        <v>13</v>
      </c>
      <c r="K38" t="s">
        <v>13</v>
      </c>
      <c r="L38" t="s">
        <v>13</v>
      </c>
      <c r="M38" t="s">
        <v>13</v>
      </c>
      <c r="N38" t="s">
        <v>13</v>
      </c>
      <c r="O38" t="s">
        <v>13</v>
      </c>
      <c r="P38" t="s">
        <v>13</v>
      </c>
    </row>
    <row r="39" spans="1:16" hidden="1" x14ac:dyDescent="0.25">
      <c r="A39" t="s">
        <v>316</v>
      </c>
      <c r="B39" t="s">
        <v>315</v>
      </c>
      <c r="C39" t="s">
        <v>470</v>
      </c>
      <c r="D39" t="s">
        <v>469</v>
      </c>
      <c r="E39" t="s">
        <v>13</v>
      </c>
      <c r="F39" t="s">
        <v>13</v>
      </c>
      <c r="G39" t="s">
        <v>13</v>
      </c>
      <c r="H39" t="s">
        <v>13</v>
      </c>
      <c r="I39" t="s">
        <v>13</v>
      </c>
      <c r="J39" t="s">
        <v>13</v>
      </c>
      <c r="K39" t="s">
        <v>13</v>
      </c>
      <c r="L39" t="s">
        <v>13</v>
      </c>
      <c r="M39" t="s">
        <v>13</v>
      </c>
      <c r="N39" t="s">
        <v>13</v>
      </c>
      <c r="O39" t="s">
        <v>13</v>
      </c>
      <c r="P39" t="s">
        <v>13</v>
      </c>
    </row>
    <row r="40" spans="1:16" x14ac:dyDescent="0.25">
      <c r="A40" t="s">
        <v>316</v>
      </c>
      <c r="B40" t="s">
        <v>315</v>
      </c>
      <c r="C40" t="s">
        <v>86</v>
      </c>
      <c r="D40" t="s">
        <v>87</v>
      </c>
      <c r="E40" t="s">
        <v>13</v>
      </c>
      <c r="F40">
        <v>14.27572</v>
      </c>
      <c r="G40">
        <v>8.6417009999999994</v>
      </c>
      <c r="H40">
        <v>8.4157569999999993</v>
      </c>
      <c r="I40">
        <v>8.7481910000000003</v>
      </c>
      <c r="J40">
        <v>8.7081569999999999</v>
      </c>
      <c r="K40">
        <v>9.1496680000000001</v>
      </c>
      <c r="L40">
        <v>8.9284130000000008</v>
      </c>
      <c r="M40">
        <v>8.7194590000000005</v>
      </c>
      <c r="N40">
        <v>8.1233740000000001</v>
      </c>
      <c r="O40">
        <v>7.7497170000000004</v>
      </c>
      <c r="P40">
        <v>7.8693369999999998</v>
      </c>
    </row>
    <row r="41" spans="1:16" hidden="1" x14ac:dyDescent="0.25">
      <c r="A41" t="s">
        <v>316</v>
      </c>
      <c r="B41" t="s">
        <v>315</v>
      </c>
      <c r="C41" t="s">
        <v>468</v>
      </c>
      <c r="D41" t="s">
        <v>467</v>
      </c>
      <c r="E41" t="s">
        <v>13</v>
      </c>
      <c r="F41">
        <v>8.2476780000000005</v>
      </c>
      <c r="G41">
        <v>10.223940000000001</v>
      </c>
      <c r="H41">
        <v>10.56312</v>
      </c>
      <c r="I41">
        <v>9.8034669999999995</v>
      </c>
      <c r="J41">
        <v>8.6781279999999992</v>
      </c>
      <c r="K41">
        <v>9.2264560000000007</v>
      </c>
      <c r="L41">
        <v>9.3207389999999997</v>
      </c>
      <c r="M41">
        <v>9.4516860000000005</v>
      </c>
      <c r="N41">
        <v>9.8608010000000004</v>
      </c>
      <c r="O41">
        <v>9.5611090000000001</v>
      </c>
      <c r="P41" t="s">
        <v>13</v>
      </c>
    </row>
    <row r="42" spans="1:16" x14ac:dyDescent="0.25">
      <c r="A42" t="s">
        <v>316</v>
      </c>
      <c r="B42" t="s">
        <v>315</v>
      </c>
      <c r="C42" t="s">
        <v>466</v>
      </c>
      <c r="D42" t="s">
        <v>465</v>
      </c>
      <c r="E42" t="s">
        <v>13</v>
      </c>
      <c r="F42">
        <v>15.91231</v>
      </c>
      <c r="G42">
        <v>15.15737</v>
      </c>
      <c r="H42">
        <v>12.32024</v>
      </c>
      <c r="I42" t="s">
        <v>13</v>
      </c>
      <c r="J42">
        <v>15.64894</v>
      </c>
      <c r="K42">
        <v>14.900259999999999</v>
      </c>
      <c r="L42">
        <v>14.720190000000001</v>
      </c>
      <c r="M42">
        <v>14.59352</v>
      </c>
      <c r="N42">
        <v>16.97139</v>
      </c>
      <c r="O42">
        <v>18.153459999999999</v>
      </c>
      <c r="P42">
        <v>18.700140000000001</v>
      </c>
    </row>
    <row r="43" spans="1:16" x14ac:dyDescent="0.25">
      <c r="A43" t="s">
        <v>316</v>
      </c>
      <c r="B43" t="s">
        <v>315</v>
      </c>
      <c r="C43" t="s">
        <v>88</v>
      </c>
      <c r="D43" t="s">
        <v>89</v>
      </c>
      <c r="E43" t="s">
        <v>13</v>
      </c>
      <c r="F43" t="s">
        <v>13</v>
      </c>
      <c r="G43">
        <v>20.336839999999999</v>
      </c>
      <c r="H43">
        <v>20.175730000000001</v>
      </c>
      <c r="I43">
        <v>19.79964</v>
      </c>
      <c r="J43">
        <v>20.58774</v>
      </c>
      <c r="K43">
        <v>20.142209999999999</v>
      </c>
      <c r="L43">
        <v>19.369319999999998</v>
      </c>
      <c r="M43">
        <v>18.531580000000002</v>
      </c>
      <c r="N43">
        <v>22.894500000000001</v>
      </c>
      <c r="O43">
        <v>25.47081</v>
      </c>
      <c r="P43">
        <v>27.08953</v>
      </c>
    </row>
    <row r="44" spans="1:16" x14ac:dyDescent="0.25">
      <c r="A44" t="s">
        <v>316</v>
      </c>
      <c r="B44" t="s">
        <v>315</v>
      </c>
      <c r="C44" t="s">
        <v>90</v>
      </c>
      <c r="D44" t="s">
        <v>91</v>
      </c>
      <c r="E44" t="s">
        <v>13</v>
      </c>
      <c r="F44" t="s">
        <v>13</v>
      </c>
      <c r="G44">
        <v>27.553989999999999</v>
      </c>
      <c r="H44">
        <v>28.38683</v>
      </c>
      <c r="I44">
        <v>26.16084</v>
      </c>
      <c r="J44">
        <v>26.176110000000001</v>
      </c>
      <c r="K44">
        <v>25.0181</v>
      </c>
      <c r="L44">
        <v>25.399460000000001</v>
      </c>
      <c r="M44">
        <v>25.48395</v>
      </c>
      <c r="N44">
        <v>26.369129999999998</v>
      </c>
      <c r="O44">
        <v>26.428090000000001</v>
      </c>
      <c r="P44">
        <v>26.771470000000001</v>
      </c>
    </row>
    <row r="45" spans="1:16" hidden="1" x14ac:dyDescent="0.25">
      <c r="A45" t="s">
        <v>316</v>
      </c>
      <c r="B45" t="s">
        <v>315</v>
      </c>
      <c r="C45" t="s">
        <v>464</v>
      </c>
      <c r="D45" t="s">
        <v>463</v>
      </c>
      <c r="E45" t="s">
        <v>13</v>
      </c>
      <c r="F45">
        <v>10.844810000000001</v>
      </c>
      <c r="G45">
        <v>9.8553339999999992</v>
      </c>
      <c r="H45">
        <v>12.00264</v>
      </c>
      <c r="I45">
        <v>9.6661990000000007</v>
      </c>
      <c r="J45">
        <v>10.15607</v>
      </c>
      <c r="K45">
        <v>9.9556609999999992</v>
      </c>
      <c r="L45">
        <v>10.53425</v>
      </c>
      <c r="M45">
        <v>8.8253149999999998</v>
      </c>
      <c r="N45">
        <v>9.8441229999999997</v>
      </c>
      <c r="O45">
        <v>10.586270000000001</v>
      </c>
      <c r="P45" t="s">
        <v>13</v>
      </c>
    </row>
    <row r="46" spans="1:16" x14ac:dyDescent="0.25">
      <c r="A46" t="s">
        <v>316</v>
      </c>
      <c r="B46" t="s">
        <v>315</v>
      </c>
      <c r="C46" t="s">
        <v>92</v>
      </c>
      <c r="D46" t="s">
        <v>93</v>
      </c>
      <c r="E46" t="s">
        <v>13</v>
      </c>
      <c r="F46">
        <v>16.640239999999999</v>
      </c>
      <c r="G46">
        <v>13.65419</v>
      </c>
      <c r="H46">
        <v>13.660080000000001</v>
      </c>
      <c r="I46">
        <v>13.69585</v>
      </c>
      <c r="J46">
        <v>13.88616</v>
      </c>
      <c r="K46">
        <v>14.192550000000001</v>
      </c>
      <c r="L46">
        <v>14.488910000000001</v>
      </c>
      <c r="M46">
        <v>14.378220000000001</v>
      </c>
      <c r="N46">
        <v>14.20599</v>
      </c>
      <c r="O46">
        <v>13.067550000000001</v>
      </c>
      <c r="P46">
        <v>13.85122</v>
      </c>
    </row>
    <row r="47" spans="1:16" hidden="1" x14ac:dyDescent="0.25">
      <c r="A47" t="s">
        <v>316</v>
      </c>
      <c r="B47" t="s">
        <v>315</v>
      </c>
      <c r="C47" t="s">
        <v>462</v>
      </c>
      <c r="D47" t="s">
        <v>461</v>
      </c>
      <c r="E47" t="s">
        <v>13</v>
      </c>
      <c r="F47">
        <v>18.462679999999999</v>
      </c>
      <c r="G47">
        <v>26.23828</v>
      </c>
      <c r="H47" t="s">
        <v>13</v>
      </c>
      <c r="I47" t="s">
        <v>13</v>
      </c>
      <c r="J47">
        <v>18.50337</v>
      </c>
      <c r="K47">
        <v>17.26295</v>
      </c>
      <c r="L47" t="s">
        <v>13</v>
      </c>
      <c r="M47" t="s">
        <v>13</v>
      </c>
      <c r="N47" t="s">
        <v>13</v>
      </c>
      <c r="O47" t="s">
        <v>13</v>
      </c>
      <c r="P47" t="s">
        <v>13</v>
      </c>
    </row>
    <row r="48" spans="1:16" hidden="1" x14ac:dyDescent="0.25">
      <c r="A48" t="s">
        <v>316</v>
      </c>
      <c r="B48" t="s">
        <v>315</v>
      </c>
      <c r="C48" t="s">
        <v>460</v>
      </c>
      <c r="D48" t="s">
        <v>459</v>
      </c>
      <c r="E48" t="s">
        <v>13</v>
      </c>
      <c r="F48" t="s">
        <v>13</v>
      </c>
      <c r="G48" t="s">
        <v>13</v>
      </c>
      <c r="H48" t="s">
        <v>13</v>
      </c>
      <c r="I48" t="s">
        <v>13</v>
      </c>
      <c r="J48" t="s">
        <v>13</v>
      </c>
      <c r="K48" t="s">
        <v>13</v>
      </c>
      <c r="L48" t="s">
        <v>13</v>
      </c>
      <c r="M48" t="s">
        <v>13</v>
      </c>
      <c r="N48" t="s">
        <v>13</v>
      </c>
      <c r="O48" t="s">
        <v>13</v>
      </c>
      <c r="P48" t="s">
        <v>13</v>
      </c>
    </row>
    <row r="49" spans="1:16" hidden="1" x14ac:dyDescent="0.25">
      <c r="A49" t="s">
        <v>316</v>
      </c>
      <c r="B49" t="s">
        <v>315</v>
      </c>
      <c r="C49" t="s">
        <v>458</v>
      </c>
      <c r="D49" t="s">
        <v>457</v>
      </c>
      <c r="E49" t="s">
        <v>13</v>
      </c>
      <c r="F49">
        <v>15.83733</v>
      </c>
      <c r="G49">
        <v>11.727259999999999</v>
      </c>
      <c r="H49">
        <v>11.098100000000001</v>
      </c>
      <c r="I49" t="s">
        <v>13</v>
      </c>
      <c r="J49">
        <v>8.1171550000000003</v>
      </c>
      <c r="K49">
        <v>8.4171720000000008</v>
      </c>
      <c r="L49" t="s">
        <v>13</v>
      </c>
      <c r="M49" t="s">
        <v>13</v>
      </c>
      <c r="N49" t="s">
        <v>13</v>
      </c>
      <c r="O49" t="s">
        <v>13</v>
      </c>
      <c r="P49" t="s">
        <v>13</v>
      </c>
    </row>
    <row r="50" spans="1:16" hidden="1" x14ac:dyDescent="0.25">
      <c r="A50" t="s">
        <v>316</v>
      </c>
      <c r="B50" t="s">
        <v>315</v>
      </c>
      <c r="C50" t="s">
        <v>456</v>
      </c>
      <c r="D50" t="s">
        <v>455</v>
      </c>
      <c r="E50" t="s">
        <v>13</v>
      </c>
      <c r="F50" t="s">
        <v>13</v>
      </c>
      <c r="G50" t="s">
        <v>13</v>
      </c>
      <c r="H50" t="s">
        <v>13</v>
      </c>
      <c r="I50" t="s">
        <v>13</v>
      </c>
      <c r="J50" t="s">
        <v>13</v>
      </c>
      <c r="K50" t="s">
        <v>13</v>
      </c>
      <c r="L50" t="s">
        <v>13</v>
      </c>
      <c r="M50" t="s">
        <v>13</v>
      </c>
      <c r="N50" t="s">
        <v>13</v>
      </c>
      <c r="O50" t="s">
        <v>13</v>
      </c>
      <c r="P50" t="s">
        <v>13</v>
      </c>
    </row>
    <row r="51" spans="1:16" x14ac:dyDescent="0.25">
      <c r="A51" t="s">
        <v>316</v>
      </c>
      <c r="B51" t="s">
        <v>315</v>
      </c>
      <c r="C51" t="s">
        <v>94</v>
      </c>
      <c r="D51" t="s">
        <v>95</v>
      </c>
      <c r="E51" t="s">
        <v>13</v>
      </c>
      <c r="F51">
        <v>9.3885480000000001</v>
      </c>
      <c r="G51">
        <v>9.2887160000000009</v>
      </c>
      <c r="H51">
        <v>9.0836089999999992</v>
      </c>
      <c r="I51">
        <v>9.3408739999999995</v>
      </c>
      <c r="J51">
        <v>8.5288819999999994</v>
      </c>
      <c r="K51">
        <v>8.4922400000000007</v>
      </c>
      <c r="L51">
        <v>8.6897830000000003</v>
      </c>
      <c r="M51">
        <v>8.5527160000000002</v>
      </c>
      <c r="N51">
        <v>7.7614939999999999</v>
      </c>
      <c r="O51">
        <v>6.6526490000000003</v>
      </c>
      <c r="P51">
        <v>7.4464389999999998</v>
      </c>
    </row>
    <row r="52" spans="1:16" x14ac:dyDescent="0.25">
      <c r="A52" t="s">
        <v>316</v>
      </c>
      <c r="B52" t="s">
        <v>315</v>
      </c>
      <c r="C52" t="s">
        <v>96</v>
      </c>
      <c r="D52" t="s">
        <v>97</v>
      </c>
      <c r="E52" t="s">
        <v>13</v>
      </c>
      <c r="F52">
        <v>19.23762</v>
      </c>
      <c r="G52">
        <v>19.796189999999999</v>
      </c>
      <c r="H52">
        <v>19.638470000000002</v>
      </c>
      <c r="I52">
        <v>20.263280000000002</v>
      </c>
      <c r="J52">
        <v>23.629049999999999</v>
      </c>
      <c r="K52">
        <v>21.818290000000001</v>
      </c>
      <c r="L52">
        <v>22.5563</v>
      </c>
      <c r="M52">
        <v>23.329249999999998</v>
      </c>
      <c r="N52">
        <v>24.55772</v>
      </c>
      <c r="O52">
        <v>24.445350000000001</v>
      </c>
      <c r="P52">
        <v>25.017969999999998</v>
      </c>
    </row>
    <row r="53" spans="1:16" x14ac:dyDescent="0.25">
      <c r="A53" t="s">
        <v>316</v>
      </c>
      <c r="B53" t="s">
        <v>315</v>
      </c>
      <c r="C53" t="s">
        <v>98</v>
      </c>
      <c r="D53" t="s">
        <v>99</v>
      </c>
      <c r="E53" t="s">
        <v>13</v>
      </c>
      <c r="F53">
        <v>2.1244299999999998</v>
      </c>
      <c r="G53">
        <v>5.8374829999999998</v>
      </c>
      <c r="H53" t="s">
        <v>13</v>
      </c>
      <c r="I53" t="s">
        <v>13</v>
      </c>
      <c r="J53">
        <v>6.4132509999999998</v>
      </c>
      <c r="K53">
        <v>6.471997</v>
      </c>
      <c r="L53">
        <v>5.9325850000000004</v>
      </c>
      <c r="M53">
        <v>6.0193760000000003</v>
      </c>
      <c r="N53">
        <v>6.1343240000000003</v>
      </c>
      <c r="O53">
        <v>5.253978</v>
      </c>
      <c r="P53">
        <v>4.3203849999999999</v>
      </c>
    </row>
    <row r="54" spans="1:16" hidden="1" x14ac:dyDescent="0.25">
      <c r="A54" t="s">
        <v>316</v>
      </c>
      <c r="B54" t="s">
        <v>315</v>
      </c>
      <c r="C54" t="s">
        <v>454</v>
      </c>
      <c r="D54" t="s">
        <v>453</v>
      </c>
      <c r="E54" t="s">
        <v>13</v>
      </c>
      <c r="F54" t="s">
        <v>13</v>
      </c>
      <c r="G54" t="s">
        <v>13</v>
      </c>
      <c r="H54" t="s">
        <v>13</v>
      </c>
      <c r="I54" t="s">
        <v>13</v>
      </c>
      <c r="J54" t="s">
        <v>13</v>
      </c>
      <c r="K54" t="s">
        <v>13</v>
      </c>
      <c r="L54" t="s">
        <v>13</v>
      </c>
      <c r="M54" t="s">
        <v>13</v>
      </c>
      <c r="N54" t="s">
        <v>13</v>
      </c>
      <c r="O54" t="s">
        <v>13</v>
      </c>
      <c r="P54" t="s">
        <v>13</v>
      </c>
    </row>
    <row r="55" spans="1:16" hidden="1" x14ac:dyDescent="0.25">
      <c r="A55" t="s">
        <v>316</v>
      </c>
      <c r="B55" t="s">
        <v>315</v>
      </c>
      <c r="C55" t="s">
        <v>452</v>
      </c>
      <c r="D55" t="s">
        <v>451</v>
      </c>
      <c r="E55" t="s">
        <v>13</v>
      </c>
      <c r="F55">
        <v>18.37744</v>
      </c>
      <c r="G55">
        <v>9.9169529999999995</v>
      </c>
      <c r="H55">
        <v>9.7713979999999996</v>
      </c>
      <c r="I55">
        <v>10.6012</v>
      </c>
      <c r="J55">
        <v>8.8922919999999994</v>
      </c>
      <c r="K55">
        <v>7.4819570000000004</v>
      </c>
      <c r="L55">
        <v>7.1046170000000002</v>
      </c>
      <c r="M55">
        <v>8.5484880000000008</v>
      </c>
      <c r="N55">
        <v>7.4243810000000003</v>
      </c>
      <c r="O55">
        <v>5.636406</v>
      </c>
      <c r="P55" t="s">
        <v>13</v>
      </c>
    </row>
    <row r="56" spans="1:16" hidden="1" x14ac:dyDescent="0.25">
      <c r="A56" t="s">
        <v>316</v>
      </c>
      <c r="B56" t="s">
        <v>315</v>
      </c>
      <c r="C56" t="s">
        <v>450</v>
      </c>
      <c r="D56" t="s">
        <v>449</v>
      </c>
      <c r="E56" t="s">
        <v>13</v>
      </c>
      <c r="F56" t="s">
        <v>13</v>
      </c>
      <c r="G56" t="s">
        <v>13</v>
      </c>
      <c r="H56" t="s">
        <v>13</v>
      </c>
      <c r="I56" t="s">
        <v>13</v>
      </c>
      <c r="J56" t="s">
        <v>13</v>
      </c>
      <c r="K56" t="s">
        <v>13</v>
      </c>
      <c r="L56" t="s">
        <v>13</v>
      </c>
      <c r="M56" t="s">
        <v>13</v>
      </c>
      <c r="N56" t="s">
        <v>13</v>
      </c>
      <c r="O56" t="s">
        <v>13</v>
      </c>
      <c r="P56" t="s">
        <v>13</v>
      </c>
    </row>
    <row r="57" spans="1:16" x14ac:dyDescent="0.25">
      <c r="A57" t="s">
        <v>316</v>
      </c>
      <c r="B57" t="s">
        <v>315</v>
      </c>
      <c r="C57" t="s">
        <v>100</v>
      </c>
      <c r="D57" t="s">
        <v>101</v>
      </c>
      <c r="E57" t="s">
        <v>13</v>
      </c>
      <c r="F57">
        <v>20.830770000000001</v>
      </c>
      <c r="G57">
        <v>21.49812</v>
      </c>
      <c r="H57">
        <v>20.186640000000001</v>
      </c>
      <c r="I57">
        <v>17.492260000000002</v>
      </c>
      <c r="J57">
        <v>17.436</v>
      </c>
      <c r="K57">
        <v>20.193760000000001</v>
      </c>
      <c r="L57">
        <v>18.72457</v>
      </c>
      <c r="M57">
        <v>19.150079999999999</v>
      </c>
      <c r="N57">
        <v>20.40005</v>
      </c>
      <c r="O57">
        <v>18.814150000000001</v>
      </c>
      <c r="P57">
        <v>19.60885</v>
      </c>
    </row>
    <row r="58" spans="1:16" x14ac:dyDescent="0.25">
      <c r="A58" t="s">
        <v>316</v>
      </c>
      <c r="B58" t="s">
        <v>315</v>
      </c>
      <c r="C58" t="s">
        <v>102</v>
      </c>
      <c r="D58" t="s">
        <v>103</v>
      </c>
      <c r="E58" t="s">
        <v>13</v>
      </c>
      <c r="F58">
        <v>17.314509999999999</v>
      </c>
      <c r="G58">
        <v>17.644590000000001</v>
      </c>
      <c r="H58">
        <v>17.576930000000001</v>
      </c>
      <c r="I58">
        <v>16.249189999999999</v>
      </c>
      <c r="J58">
        <v>16.372299999999999</v>
      </c>
      <c r="K58">
        <v>16.239940000000001</v>
      </c>
      <c r="L58">
        <v>16.31917</v>
      </c>
      <c r="M58">
        <v>16.508600000000001</v>
      </c>
      <c r="N58">
        <v>17.519220000000001</v>
      </c>
      <c r="O58">
        <v>16.94303</v>
      </c>
      <c r="P58">
        <v>19.021909999999998</v>
      </c>
    </row>
    <row r="59" spans="1:16" x14ac:dyDescent="0.25">
      <c r="A59" t="s">
        <v>316</v>
      </c>
      <c r="B59" t="s">
        <v>315</v>
      </c>
      <c r="C59" t="s">
        <v>104</v>
      </c>
      <c r="D59" t="s">
        <v>105</v>
      </c>
      <c r="E59" t="s">
        <v>13</v>
      </c>
      <c r="F59">
        <v>6.6175740000000003</v>
      </c>
      <c r="G59">
        <v>7.8616469999999996</v>
      </c>
      <c r="H59">
        <v>7.394768</v>
      </c>
      <c r="I59">
        <v>7.6052369999999998</v>
      </c>
      <c r="J59">
        <v>6.5663210000000003</v>
      </c>
      <c r="K59">
        <v>8.0263419999999996</v>
      </c>
      <c r="L59">
        <v>8.2396550000000008</v>
      </c>
      <c r="M59">
        <v>7.8809979999999999</v>
      </c>
      <c r="N59">
        <v>7.9379980000000003</v>
      </c>
      <c r="O59">
        <v>7.2892789999999996</v>
      </c>
      <c r="P59">
        <v>7.3926290000000003</v>
      </c>
    </row>
    <row r="60" spans="1:16" hidden="1" x14ac:dyDescent="0.25">
      <c r="A60" t="s">
        <v>316</v>
      </c>
      <c r="B60" t="s">
        <v>315</v>
      </c>
      <c r="C60" t="s">
        <v>448</v>
      </c>
      <c r="D60" t="s">
        <v>447</v>
      </c>
      <c r="E60" t="s">
        <v>13</v>
      </c>
      <c r="F60">
        <v>14.22871</v>
      </c>
      <c r="G60" t="s">
        <v>13</v>
      </c>
      <c r="H60" t="s">
        <v>13</v>
      </c>
      <c r="I60" t="s">
        <v>13</v>
      </c>
      <c r="J60">
        <v>22.151599999999998</v>
      </c>
      <c r="K60">
        <v>19.880579999999998</v>
      </c>
      <c r="L60">
        <v>18.418019999999999</v>
      </c>
      <c r="M60">
        <v>18.59676</v>
      </c>
      <c r="N60">
        <v>19.552669999999999</v>
      </c>
      <c r="O60">
        <v>22.449860000000001</v>
      </c>
      <c r="P60" t="s">
        <v>13</v>
      </c>
    </row>
    <row r="61" spans="1:16" x14ac:dyDescent="0.25">
      <c r="A61" t="s">
        <v>316</v>
      </c>
      <c r="B61" t="s">
        <v>315</v>
      </c>
      <c r="C61" t="s">
        <v>310</v>
      </c>
      <c r="D61" t="s">
        <v>107</v>
      </c>
      <c r="E61" t="s">
        <v>13</v>
      </c>
      <c r="F61">
        <v>14.89204</v>
      </c>
      <c r="G61">
        <v>8.2810600000000001</v>
      </c>
      <c r="H61">
        <v>7.0783759999999996</v>
      </c>
      <c r="I61">
        <v>11.19544</v>
      </c>
      <c r="J61">
        <v>12.061640000000001</v>
      </c>
      <c r="K61">
        <v>11.697340000000001</v>
      </c>
      <c r="L61">
        <v>9.5132549999999991</v>
      </c>
      <c r="M61">
        <v>10.971030000000001</v>
      </c>
      <c r="N61">
        <v>11.20895</v>
      </c>
      <c r="O61">
        <v>10.572509999999999</v>
      </c>
      <c r="P61">
        <v>11.01254</v>
      </c>
    </row>
    <row r="62" spans="1:16" x14ac:dyDescent="0.25">
      <c r="A62" t="s">
        <v>316</v>
      </c>
      <c r="B62" t="s">
        <v>315</v>
      </c>
      <c r="C62" t="s">
        <v>446</v>
      </c>
      <c r="D62" t="s">
        <v>445</v>
      </c>
      <c r="E62" t="s">
        <v>13</v>
      </c>
      <c r="F62">
        <v>9.5421899999999997</v>
      </c>
      <c r="G62">
        <v>8.4282219999999999</v>
      </c>
      <c r="H62">
        <v>9.2322500000000005</v>
      </c>
      <c r="I62">
        <v>8.2720570000000002</v>
      </c>
      <c r="J62">
        <v>8.2689280000000007</v>
      </c>
      <c r="K62">
        <v>9.8328589999999991</v>
      </c>
      <c r="L62">
        <v>7.1100810000000001</v>
      </c>
      <c r="M62">
        <v>7.8814299999999999</v>
      </c>
      <c r="N62">
        <v>8.0282669999999996</v>
      </c>
      <c r="O62">
        <v>7.120387</v>
      </c>
      <c r="P62">
        <v>6.0744170000000004</v>
      </c>
    </row>
    <row r="63" spans="1:16" x14ac:dyDescent="0.25">
      <c r="A63" t="s">
        <v>316</v>
      </c>
      <c r="B63" t="s">
        <v>315</v>
      </c>
      <c r="C63" t="s">
        <v>444</v>
      </c>
      <c r="D63" t="s">
        <v>443</v>
      </c>
      <c r="E63" t="s">
        <v>13</v>
      </c>
      <c r="F63">
        <v>8.3419930000000004</v>
      </c>
      <c r="G63">
        <v>12.21091</v>
      </c>
      <c r="H63">
        <v>11.67634</v>
      </c>
      <c r="I63">
        <v>12.247629999999999</v>
      </c>
      <c r="J63">
        <v>12.14578</v>
      </c>
      <c r="K63">
        <v>11.56156</v>
      </c>
      <c r="L63">
        <v>10.4291</v>
      </c>
      <c r="M63">
        <v>10.229100000000001</v>
      </c>
      <c r="N63">
        <v>10.83713</v>
      </c>
      <c r="O63">
        <v>10.51501</v>
      </c>
      <c r="P63">
        <v>10.34125</v>
      </c>
    </row>
    <row r="64" spans="1:16" x14ac:dyDescent="0.25">
      <c r="A64" t="s">
        <v>316</v>
      </c>
      <c r="B64" t="s">
        <v>315</v>
      </c>
      <c r="C64" t="s">
        <v>48</v>
      </c>
      <c r="D64" t="s">
        <v>49</v>
      </c>
      <c r="E64" t="s">
        <v>13</v>
      </c>
      <c r="F64">
        <v>20.069710000000001</v>
      </c>
      <c r="G64">
        <v>16.101420000000001</v>
      </c>
      <c r="H64">
        <v>18.28209</v>
      </c>
      <c r="I64">
        <v>18.400980000000001</v>
      </c>
      <c r="J64">
        <v>24.385210000000001</v>
      </c>
      <c r="K64" t="s">
        <v>13</v>
      </c>
      <c r="L64" t="s">
        <v>13</v>
      </c>
      <c r="M64">
        <v>25.770879999999998</v>
      </c>
      <c r="N64">
        <v>25.575060000000001</v>
      </c>
      <c r="O64">
        <v>22.682200000000002</v>
      </c>
      <c r="P64">
        <v>26.424710000000001</v>
      </c>
    </row>
    <row r="65" spans="1:16" hidden="1" x14ac:dyDescent="0.25">
      <c r="A65" t="s">
        <v>316</v>
      </c>
      <c r="B65" t="s">
        <v>315</v>
      </c>
      <c r="C65" t="s">
        <v>442</v>
      </c>
      <c r="D65" t="s">
        <v>441</v>
      </c>
      <c r="E65" t="s">
        <v>13</v>
      </c>
      <c r="F65" t="s">
        <v>13</v>
      </c>
      <c r="G65">
        <v>15.9094</v>
      </c>
      <c r="H65">
        <v>17.055099999999999</v>
      </c>
      <c r="I65">
        <v>13.68825</v>
      </c>
      <c r="J65">
        <v>11.8607</v>
      </c>
      <c r="K65" t="s">
        <v>13</v>
      </c>
      <c r="L65">
        <v>10.346719999999999</v>
      </c>
      <c r="M65">
        <v>13.12097</v>
      </c>
      <c r="N65">
        <v>16.972439999999999</v>
      </c>
      <c r="O65" t="s">
        <v>13</v>
      </c>
      <c r="P65" t="s">
        <v>13</v>
      </c>
    </row>
    <row r="66" spans="1:16" hidden="1" x14ac:dyDescent="0.25">
      <c r="A66" t="s">
        <v>316</v>
      </c>
      <c r="B66" t="s">
        <v>315</v>
      </c>
      <c r="C66" t="s">
        <v>440</v>
      </c>
      <c r="D66" t="s">
        <v>439</v>
      </c>
      <c r="E66" t="s">
        <v>13</v>
      </c>
      <c r="F66" t="s">
        <v>13</v>
      </c>
      <c r="G66" t="s">
        <v>13</v>
      </c>
      <c r="H66" t="s">
        <v>13</v>
      </c>
      <c r="I66" t="s">
        <v>13</v>
      </c>
      <c r="J66" t="s">
        <v>13</v>
      </c>
      <c r="K66" t="s">
        <v>13</v>
      </c>
      <c r="L66" t="s">
        <v>13</v>
      </c>
      <c r="M66" t="s">
        <v>13</v>
      </c>
      <c r="N66" t="s">
        <v>13</v>
      </c>
      <c r="O66" t="s">
        <v>13</v>
      </c>
      <c r="P66" t="s">
        <v>13</v>
      </c>
    </row>
    <row r="67" spans="1:16" x14ac:dyDescent="0.25">
      <c r="A67" t="s">
        <v>316</v>
      </c>
      <c r="B67" t="s">
        <v>315</v>
      </c>
      <c r="C67" t="s">
        <v>108</v>
      </c>
      <c r="D67" t="s">
        <v>109</v>
      </c>
      <c r="E67" t="s">
        <v>13</v>
      </c>
      <c r="F67">
        <v>32.973999999999997</v>
      </c>
      <c r="G67">
        <v>33.063920000000003</v>
      </c>
      <c r="H67">
        <v>32.090809999999998</v>
      </c>
      <c r="I67">
        <v>31.625620000000001</v>
      </c>
      <c r="J67">
        <v>36.206049999999998</v>
      </c>
      <c r="K67">
        <v>38.148220000000002</v>
      </c>
      <c r="L67">
        <v>34.462429999999998</v>
      </c>
      <c r="M67">
        <v>34.369219999999999</v>
      </c>
      <c r="N67">
        <v>34.622320000000002</v>
      </c>
      <c r="O67">
        <v>31.065439999999999</v>
      </c>
      <c r="P67">
        <v>32.583950000000002</v>
      </c>
    </row>
    <row r="68" spans="1:16" x14ac:dyDescent="0.25">
      <c r="A68" t="s">
        <v>316</v>
      </c>
      <c r="B68" t="s">
        <v>315</v>
      </c>
      <c r="C68" t="s">
        <v>50</v>
      </c>
      <c r="D68" t="s">
        <v>51</v>
      </c>
      <c r="E68" t="s">
        <v>13</v>
      </c>
      <c r="F68">
        <v>5.8908820000000004</v>
      </c>
      <c r="G68">
        <v>10.945959999999999</v>
      </c>
      <c r="H68">
        <v>10.14678</v>
      </c>
      <c r="I68">
        <v>10.077260000000001</v>
      </c>
      <c r="J68">
        <v>11.11825</v>
      </c>
      <c r="K68">
        <v>10.612489999999999</v>
      </c>
      <c r="L68">
        <v>11.068530000000001</v>
      </c>
      <c r="M68">
        <v>10.69763</v>
      </c>
      <c r="N68">
        <v>10.8558</v>
      </c>
      <c r="O68">
        <v>9.2977919999999994</v>
      </c>
      <c r="P68">
        <v>9.5145660000000003</v>
      </c>
    </row>
    <row r="69" spans="1:16" x14ac:dyDescent="0.25">
      <c r="A69" t="s">
        <v>316</v>
      </c>
      <c r="B69" t="s">
        <v>315</v>
      </c>
      <c r="C69" t="s">
        <v>110</v>
      </c>
      <c r="D69" t="s">
        <v>111</v>
      </c>
      <c r="E69" t="s">
        <v>13</v>
      </c>
      <c r="F69">
        <v>15.103859999999999</v>
      </c>
      <c r="G69">
        <v>20.007069999999999</v>
      </c>
      <c r="H69">
        <v>20.852350000000001</v>
      </c>
      <c r="I69">
        <v>21.543060000000001</v>
      </c>
      <c r="J69">
        <v>21.43956</v>
      </c>
      <c r="K69">
        <v>19.922650000000001</v>
      </c>
      <c r="L69">
        <v>21.548490000000001</v>
      </c>
      <c r="M69">
        <v>20.868849999999998</v>
      </c>
      <c r="N69">
        <v>23.477620000000002</v>
      </c>
      <c r="O69">
        <v>22.12914</v>
      </c>
      <c r="P69">
        <v>20.59571</v>
      </c>
    </row>
    <row r="70" spans="1:16" x14ac:dyDescent="0.25">
      <c r="A70" t="s">
        <v>316</v>
      </c>
      <c r="B70" t="s">
        <v>315</v>
      </c>
      <c r="C70" t="s">
        <v>112</v>
      </c>
      <c r="D70" t="s">
        <v>113</v>
      </c>
      <c r="E70" t="s">
        <v>13</v>
      </c>
      <c r="F70">
        <v>15.62581</v>
      </c>
      <c r="G70">
        <v>26.779730000000001</v>
      </c>
      <c r="H70">
        <v>26.229839999999999</v>
      </c>
      <c r="I70">
        <v>24.324439999999999</v>
      </c>
      <c r="J70">
        <v>22.070139999999999</v>
      </c>
      <c r="K70">
        <v>20.30752</v>
      </c>
      <c r="L70">
        <v>21.025189999999998</v>
      </c>
      <c r="M70">
        <v>20.48226</v>
      </c>
      <c r="N70">
        <v>20.60951</v>
      </c>
      <c r="O70">
        <v>19.583870000000001</v>
      </c>
      <c r="P70">
        <v>20.566780000000001</v>
      </c>
    </row>
    <row r="71" spans="1:16" hidden="1" x14ac:dyDescent="0.25">
      <c r="A71" t="s">
        <v>316</v>
      </c>
      <c r="B71" t="s">
        <v>315</v>
      </c>
      <c r="C71" t="s">
        <v>438</v>
      </c>
      <c r="D71" t="s">
        <v>437</v>
      </c>
      <c r="E71" t="s">
        <v>13</v>
      </c>
      <c r="F71" t="s">
        <v>13</v>
      </c>
      <c r="G71" t="s">
        <v>13</v>
      </c>
      <c r="H71" t="s">
        <v>13</v>
      </c>
      <c r="I71" t="s">
        <v>13</v>
      </c>
      <c r="J71" t="s">
        <v>13</v>
      </c>
      <c r="K71" t="s">
        <v>13</v>
      </c>
      <c r="L71" t="s">
        <v>13</v>
      </c>
      <c r="M71" t="s">
        <v>13</v>
      </c>
      <c r="N71" t="s">
        <v>13</v>
      </c>
      <c r="O71" t="s">
        <v>13</v>
      </c>
      <c r="P71" t="s">
        <v>13</v>
      </c>
    </row>
    <row r="72" spans="1:16" hidden="1" x14ac:dyDescent="0.25">
      <c r="A72" t="s">
        <v>316</v>
      </c>
      <c r="B72" t="s">
        <v>315</v>
      </c>
      <c r="C72" t="s">
        <v>436</v>
      </c>
      <c r="D72" t="s">
        <v>435</v>
      </c>
      <c r="E72" t="s">
        <v>13</v>
      </c>
      <c r="F72" t="s">
        <v>13</v>
      </c>
      <c r="G72" t="s">
        <v>13</v>
      </c>
      <c r="H72" t="s">
        <v>13</v>
      </c>
      <c r="I72" t="s">
        <v>13</v>
      </c>
      <c r="J72" t="s">
        <v>13</v>
      </c>
      <c r="K72" t="s">
        <v>13</v>
      </c>
      <c r="L72" t="s">
        <v>13</v>
      </c>
      <c r="M72" t="s">
        <v>13</v>
      </c>
      <c r="N72" t="s">
        <v>13</v>
      </c>
      <c r="O72" t="s">
        <v>13</v>
      </c>
      <c r="P72" t="s">
        <v>13</v>
      </c>
    </row>
    <row r="73" spans="1:16" x14ac:dyDescent="0.25">
      <c r="A73" t="s">
        <v>316</v>
      </c>
      <c r="B73" t="s">
        <v>315</v>
      </c>
      <c r="C73" t="s">
        <v>114</v>
      </c>
      <c r="D73" t="s">
        <v>115</v>
      </c>
      <c r="E73" t="s">
        <v>13</v>
      </c>
      <c r="F73">
        <v>11.10543</v>
      </c>
      <c r="G73">
        <v>11.60134</v>
      </c>
      <c r="H73">
        <v>13.339309999999999</v>
      </c>
      <c r="I73">
        <v>12.679729999999999</v>
      </c>
      <c r="J73">
        <v>12.61989</v>
      </c>
      <c r="K73">
        <v>9.9275929999999999</v>
      </c>
      <c r="L73">
        <v>9.9267669999999999</v>
      </c>
      <c r="M73">
        <v>9.1091599999999993</v>
      </c>
      <c r="N73">
        <v>8.9222850000000005</v>
      </c>
      <c r="O73">
        <v>8.2810740000000003</v>
      </c>
      <c r="P73">
        <v>8.4215210000000003</v>
      </c>
    </row>
    <row r="74" spans="1:16" hidden="1" x14ac:dyDescent="0.25">
      <c r="A74" t="s">
        <v>316</v>
      </c>
      <c r="B74" t="s">
        <v>315</v>
      </c>
      <c r="C74" t="s">
        <v>434</v>
      </c>
      <c r="D74" t="s">
        <v>433</v>
      </c>
      <c r="E74" t="s">
        <v>13</v>
      </c>
      <c r="F74" t="s">
        <v>13</v>
      </c>
      <c r="G74">
        <v>25.19922</v>
      </c>
      <c r="H74">
        <v>22.007860000000001</v>
      </c>
      <c r="I74">
        <v>23.633559999999999</v>
      </c>
      <c r="J74">
        <v>24.721689999999999</v>
      </c>
      <c r="K74">
        <v>24.397379999999998</v>
      </c>
      <c r="L74">
        <v>24.12191</v>
      </c>
      <c r="M74">
        <v>22.898969999999998</v>
      </c>
      <c r="N74">
        <v>24.417459999999998</v>
      </c>
      <c r="O74" t="s">
        <v>13</v>
      </c>
      <c r="P74" t="s">
        <v>13</v>
      </c>
    </row>
    <row r="75" spans="1:16" x14ac:dyDescent="0.25">
      <c r="A75" t="s">
        <v>316</v>
      </c>
      <c r="B75" t="s">
        <v>315</v>
      </c>
      <c r="C75" t="s">
        <v>116</v>
      </c>
      <c r="D75" t="s">
        <v>117</v>
      </c>
      <c r="E75" t="s">
        <v>13</v>
      </c>
      <c r="F75">
        <v>8.6563440000000007</v>
      </c>
      <c r="G75">
        <v>12.38283</v>
      </c>
      <c r="H75">
        <v>10.145720000000001</v>
      </c>
      <c r="I75">
        <v>8.6255400000000009</v>
      </c>
      <c r="J75">
        <v>8.8404509999999998</v>
      </c>
      <c r="K75">
        <v>8.4791120000000006</v>
      </c>
      <c r="L75">
        <v>11.29838</v>
      </c>
      <c r="M75">
        <v>9.9661200000000001</v>
      </c>
      <c r="N75">
        <v>9.9283289999999997</v>
      </c>
      <c r="O75">
        <v>9.0328599999999994</v>
      </c>
      <c r="P75">
        <v>11.555149999999999</v>
      </c>
    </row>
    <row r="76" spans="1:16" hidden="1" x14ac:dyDescent="0.25">
      <c r="A76" t="s">
        <v>316</v>
      </c>
      <c r="B76" t="s">
        <v>315</v>
      </c>
      <c r="C76" t="s">
        <v>432</v>
      </c>
      <c r="D76" t="s">
        <v>431</v>
      </c>
      <c r="E76" t="s">
        <v>13</v>
      </c>
      <c r="F76" t="s">
        <v>13</v>
      </c>
      <c r="G76" t="s">
        <v>13</v>
      </c>
      <c r="H76" t="s">
        <v>13</v>
      </c>
      <c r="I76" t="s">
        <v>13</v>
      </c>
      <c r="J76" t="s">
        <v>13</v>
      </c>
      <c r="K76" t="s">
        <v>13</v>
      </c>
      <c r="L76" t="s">
        <v>13</v>
      </c>
      <c r="M76" t="s">
        <v>13</v>
      </c>
      <c r="N76" t="s">
        <v>13</v>
      </c>
      <c r="O76" t="s">
        <v>13</v>
      </c>
      <c r="P76" t="s">
        <v>13</v>
      </c>
    </row>
    <row r="77" spans="1:16" x14ac:dyDescent="0.25">
      <c r="A77" t="s">
        <v>316</v>
      </c>
      <c r="B77" t="s">
        <v>315</v>
      </c>
      <c r="C77" t="s">
        <v>118</v>
      </c>
      <c r="D77" t="s">
        <v>119</v>
      </c>
      <c r="E77" t="s">
        <v>13</v>
      </c>
      <c r="F77" t="s">
        <v>13</v>
      </c>
      <c r="G77" t="s">
        <v>13</v>
      </c>
      <c r="H77" t="s">
        <v>13</v>
      </c>
      <c r="I77" t="s">
        <v>13</v>
      </c>
      <c r="J77">
        <v>26.31531</v>
      </c>
      <c r="K77">
        <v>27.55059</v>
      </c>
      <c r="L77">
        <v>27.2409</v>
      </c>
      <c r="M77">
        <v>28.901730000000001</v>
      </c>
      <c r="N77">
        <v>31.692309999999999</v>
      </c>
      <c r="O77">
        <v>28.739339999999999</v>
      </c>
      <c r="P77">
        <v>33.012059999999998</v>
      </c>
    </row>
    <row r="78" spans="1:16" x14ac:dyDescent="0.25">
      <c r="A78" t="s">
        <v>316</v>
      </c>
      <c r="B78" t="s">
        <v>315</v>
      </c>
      <c r="C78" t="s">
        <v>120</v>
      </c>
      <c r="D78" t="s">
        <v>121</v>
      </c>
      <c r="E78" t="s">
        <v>13</v>
      </c>
      <c r="F78">
        <v>13.110889999999999</v>
      </c>
      <c r="G78">
        <v>8.5220680000000009</v>
      </c>
      <c r="H78">
        <v>9.5576519999999991</v>
      </c>
      <c r="I78">
        <v>9.0674460000000003</v>
      </c>
      <c r="J78">
        <v>11.05559</v>
      </c>
      <c r="K78">
        <v>15.044510000000001</v>
      </c>
      <c r="L78">
        <v>13.97095</v>
      </c>
      <c r="M78">
        <v>17.204889999999999</v>
      </c>
      <c r="N78">
        <v>16.28398</v>
      </c>
      <c r="O78">
        <v>17.83522</v>
      </c>
      <c r="P78">
        <v>17.11392</v>
      </c>
    </row>
    <row r="79" spans="1:16" x14ac:dyDescent="0.25">
      <c r="A79" t="s">
        <v>316</v>
      </c>
      <c r="B79" t="s">
        <v>315</v>
      </c>
      <c r="C79" t="s">
        <v>122</v>
      </c>
      <c r="D79" t="s">
        <v>123</v>
      </c>
      <c r="E79" t="s">
        <v>13</v>
      </c>
      <c r="F79">
        <v>19.759319999999999</v>
      </c>
      <c r="G79">
        <v>16.91441</v>
      </c>
      <c r="H79">
        <v>19.35971</v>
      </c>
      <c r="I79">
        <v>16.620159999999998</v>
      </c>
      <c r="J79">
        <v>18.603660000000001</v>
      </c>
      <c r="K79">
        <v>19.790790000000001</v>
      </c>
      <c r="L79">
        <v>20.006640000000001</v>
      </c>
      <c r="M79">
        <v>19.20898</v>
      </c>
      <c r="N79">
        <v>19.791789999999999</v>
      </c>
      <c r="O79">
        <v>18.992000000000001</v>
      </c>
      <c r="P79">
        <v>19.97747</v>
      </c>
    </row>
    <row r="80" spans="1:16" hidden="1" x14ac:dyDescent="0.25">
      <c r="A80" t="s">
        <v>316</v>
      </c>
      <c r="B80" t="s">
        <v>315</v>
      </c>
      <c r="C80" t="s">
        <v>430</v>
      </c>
      <c r="D80" t="s">
        <v>429</v>
      </c>
      <c r="E80" t="s">
        <v>13</v>
      </c>
      <c r="F80" t="s">
        <v>13</v>
      </c>
      <c r="G80" t="s">
        <v>13</v>
      </c>
      <c r="H80" t="s">
        <v>13</v>
      </c>
      <c r="I80" t="s">
        <v>13</v>
      </c>
      <c r="J80" t="s">
        <v>13</v>
      </c>
      <c r="K80" t="s">
        <v>13</v>
      </c>
      <c r="L80" t="s">
        <v>13</v>
      </c>
      <c r="M80" t="s">
        <v>13</v>
      </c>
      <c r="N80" t="s">
        <v>13</v>
      </c>
      <c r="O80" t="s">
        <v>13</v>
      </c>
      <c r="P80" t="s">
        <v>13</v>
      </c>
    </row>
    <row r="81" spans="1:16" hidden="1" x14ac:dyDescent="0.25">
      <c r="A81" t="s">
        <v>316</v>
      </c>
      <c r="B81" t="s">
        <v>315</v>
      </c>
      <c r="C81" t="s">
        <v>428</v>
      </c>
      <c r="D81" t="s">
        <v>427</v>
      </c>
      <c r="E81" t="s">
        <v>13</v>
      </c>
      <c r="F81" t="s">
        <v>13</v>
      </c>
      <c r="G81">
        <v>17.34224</v>
      </c>
      <c r="H81">
        <v>21.203040000000001</v>
      </c>
      <c r="I81">
        <v>14.75315</v>
      </c>
      <c r="J81">
        <v>12.304449999999999</v>
      </c>
      <c r="K81">
        <v>15.346439999999999</v>
      </c>
      <c r="L81">
        <v>15.173349999999999</v>
      </c>
      <c r="M81">
        <v>16.209669999999999</v>
      </c>
      <c r="N81">
        <v>16.63204</v>
      </c>
      <c r="O81" t="s">
        <v>13</v>
      </c>
      <c r="P81" t="s">
        <v>13</v>
      </c>
    </row>
    <row r="82" spans="1:16" hidden="1" x14ac:dyDescent="0.25">
      <c r="A82" t="s">
        <v>316</v>
      </c>
      <c r="B82" t="s">
        <v>315</v>
      </c>
      <c r="C82" t="s">
        <v>426</v>
      </c>
      <c r="D82" t="s">
        <v>425</v>
      </c>
      <c r="E82" t="s">
        <v>13</v>
      </c>
      <c r="F82" t="s">
        <v>13</v>
      </c>
      <c r="G82" t="s">
        <v>13</v>
      </c>
      <c r="H82" t="s">
        <v>13</v>
      </c>
      <c r="I82" t="s">
        <v>13</v>
      </c>
      <c r="J82">
        <v>13.493359999999999</v>
      </c>
      <c r="K82">
        <v>13.95776</v>
      </c>
      <c r="L82">
        <v>13.87274</v>
      </c>
      <c r="M82">
        <v>14.03069</v>
      </c>
      <c r="N82">
        <v>13.33075</v>
      </c>
      <c r="O82">
        <v>10.93436</v>
      </c>
      <c r="P82" t="s">
        <v>13</v>
      </c>
    </row>
    <row r="83" spans="1:16" x14ac:dyDescent="0.25">
      <c r="A83" t="s">
        <v>316</v>
      </c>
      <c r="B83" t="s">
        <v>315</v>
      </c>
      <c r="C83" t="s">
        <v>124</v>
      </c>
      <c r="D83" t="s">
        <v>125</v>
      </c>
      <c r="E83" t="s">
        <v>13</v>
      </c>
      <c r="F83">
        <v>12.13904</v>
      </c>
      <c r="G83">
        <v>9.6181219999999996</v>
      </c>
      <c r="H83">
        <v>10.5402</v>
      </c>
      <c r="I83">
        <v>10.487640000000001</v>
      </c>
      <c r="J83">
        <v>7.8566310000000001</v>
      </c>
      <c r="K83">
        <v>7.087701</v>
      </c>
      <c r="L83">
        <v>7.8385009999999999</v>
      </c>
      <c r="M83">
        <v>7.3686069999999999</v>
      </c>
      <c r="N83">
        <v>7.3515579999999998</v>
      </c>
      <c r="O83">
        <v>6.229876</v>
      </c>
      <c r="P83">
        <v>7.9052119999999997</v>
      </c>
    </row>
    <row r="84" spans="1:16" x14ac:dyDescent="0.25">
      <c r="A84" t="s">
        <v>316</v>
      </c>
      <c r="B84" t="s">
        <v>315</v>
      </c>
      <c r="C84" t="s">
        <v>126</v>
      </c>
      <c r="D84" t="s">
        <v>127</v>
      </c>
      <c r="E84" t="s">
        <v>13</v>
      </c>
      <c r="F84">
        <v>15.083769999999999</v>
      </c>
      <c r="G84">
        <v>12.77894</v>
      </c>
      <c r="H84">
        <v>15.584720000000001</v>
      </c>
      <c r="I84">
        <v>16.603480000000001</v>
      </c>
      <c r="J84">
        <v>16.088270000000001</v>
      </c>
      <c r="K84">
        <v>16.76427</v>
      </c>
      <c r="L84">
        <v>18.60744</v>
      </c>
      <c r="M84">
        <v>22.488420000000001</v>
      </c>
      <c r="N84">
        <v>16.765350000000002</v>
      </c>
      <c r="O84">
        <v>15.46659</v>
      </c>
      <c r="P84">
        <v>16.04881</v>
      </c>
    </row>
    <row r="85" spans="1:16" x14ac:dyDescent="0.25">
      <c r="A85" t="s">
        <v>316</v>
      </c>
      <c r="B85" t="s">
        <v>315</v>
      </c>
      <c r="C85" t="s">
        <v>128</v>
      </c>
      <c r="D85" t="s">
        <v>129</v>
      </c>
      <c r="E85" t="s">
        <v>13</v>
      </c>
      <c r="F85" t="s">
        <v>13</v>
      </c>
      <c r="G85">
        <v>13.40157</v>
      </c>
      <c r="H85">
        <v>14.68872</v>
      </c>
      <c r="I85">
        <v>13.385999999999999</v>
      </c>
      <c r="J85">
        <v>13.37064</v>
      </c>
      <c r="K85">
        <v>12.63036</v>
      </c>
      <c r="L85">
        <v>13.94477</v>
      </c>
      <c r="M85">
        <v>13.92056</v>
      </c>
      <c r="N85">
        <v>14.12575</v>
      </c>
      <c r="O85">
        <v>14.155530000000001</v>
      </c>
      <c r="P85">
        <v>13.922420000000001</v>
      </c>
    </row>
    <row r="86" spans="1:16" hidden="1" x14ac:dyDescent="0.25">
      <c r="A86" t="s">
        <v>316</v>
      </c>
      <c r="B86" t="s">
        <v>315</v>
      </c>
      <c r="C86" t="s">
        <v>424</v>
      </c>
      <c r="D86" t="s">
        <v>423</v>
      </c>
      <c r="E86" t="s">
        <v>13</v>
      </c>
      <c r="F86" t="s">
        <v>13</v>
      </c>
      <c r="G86" t="s">
        <v>13</v>
      </c>
      <c r="H86" t="s">
        <v>13</v>
      </c>
      <c r="I86" t="s">
        <v>13</v>
      </c>
      <c r="J86" t="s">
        <v>13</v>
      </c>
      <c r="K86" t="s">
        <v>13</v>
      </c>
      <c r="L86" t="s">
        <v>13</v>
      </c>
      <c r="M86" t="s">
        <v>13</v>
      </c>
      <c r="N86" t="s">
        <v>13</v>
      </c>
      <c r="O86" t="s">
        <v>13</v>
      </c>
      <c r="P86" t="s">
        <v>13</v>
      </c>
    </row>
    <row r="87" spans="1:16" x14ac:dyDescent="0.25">
      <c r="A87" t="s">
        <v>316</v>
      </c>
      <c r="B87" t="s">
        <v>315</v>
      </c>
      <c r="C87" t="s">
        <v>130</v>
      </c>
      <c r="D87" t="s">
        <v>131</v>
      </c>
      <c r="E87" t="s">
        <v>13</v>
      </c>
      <c r="F87" t="s">
        <v>13</v>
      </c>
      <c r="G87">
        <v>2.2771499999999998</v>
      </c>
      <c r="H87">
        <v>7.4685790000000001</v>
      </c>
      <c r="I87">
        <v>5.4296439999999997</v>
      </c>
      <c r="J87">
        <v>5.9452579999999999</v>
      </c>
      <c r="K87">
        <v>7.9671010000000004</v>
      </c>
      <c r="L87">
        <v>9.335051</v>
      </c>
      <c r="M87">
        <v>7.744936</v>
      </c>
      <c r="N87">
        <v>7.7762599999999997</v>
      </c>
      <c r="O87">
        <v>7.3560910000000002</v>
      </c>
      <c r="P87">
        <v>6.6419980000000001</v>
      </c>
    </row>
    <row r="88" spans="1:16" hidden="1" x14ac:dyDescent="0.25">
      <c r="A88" t="s">
        <v>316</v>
      </c>
      <c r="B88" t="s">
        <v>315</v>
      </c>
      <c r="C88" t="s">
        <v>422</v>
      </c>
      <c r="D88" t="s">
        <v>421</v>
      </c>
      <c r="E88" t="s">
        <v>13</v>
      </c>
      <c r="F88" t="s">
        <v>13</v>
      </c>
      <c r="G88" t="s">
        <v>13</v>
      </c>
      <c r="H88" t="s">
        <v>13</v>
      </c>
      <c r="I88" t="s">
        <v>13</v>
      </c>
      <c r="J88" t="s">
        <v>13</v>
      </c>
      <c r="K88" t="s">
        <v>13</v>
      </c>
      <c r="L88" t="s">
        <v>13</v>
      </c>
      <c r="M88" t="s">
        <v>13</v>
      </c>
      <c r="N88" t="s">
        <v>13</v>
      </c>
      <c r="O88" t="s">
        <v>13</v>
      </c>
      <c r="P88" t="s">
        <v>13</v>
      </c>
    </row>
    <row r="89" spans="1:16" hidden="1" x14ac:dyDescent="0.25">
      <c r="A89" t="s">
        <v>316</v>
      </c>
      <c r="B89" t="s">
        <v>315</v>
      </c>
      <c r="C89" t="s">
        <v>420</v>
      </c>
      <c r="D89" t="s">
        <v>419</v>
      </c>
      <c r="E89" t="s">
        <v>13</v>
      </c>
      <c r="F89" t="s">
        <v>13</v>
      </c>
      <c r="G89" t="s">
        <v>13</v>
      </c>
      <c r="H89" t="s">
        <v>13</v>
      </c>
      <c r="I89" t="s">
        <v>13</v>
      </c>
      <c r="J89" t="s">
        <v>13</v>
      </c>
      <c r="K89" t="s">
        <v>13</v>
      </c>
      <c r="L89" t="s">
        <v>13</v>
      </c>
      <c r="M89" t="s">
        <v>13</v>
      </c>
      <c r="N89" t="s">
        <v>13</v>
      </c>
      <c r="O89" t="s">
        <v>13</v>
      </c>
      <c r="P89" t="s">
        <v>13</v>
      </c>
    </row>
    <row r="90" spans="1:16" hidden="1" x14ac:dyDescent="0.25">
      <c r="A90" t="s">
        <v>316</v>
      </c>
      <c r="B90" t="s">
        <v>315</v>
      </c>
      <c r="C90" t="s">
        <v>418</v>
      </c>
      <c r="D90" t="s">
        <v>417</v>
      </c>
      <c r="E90" t="s">
        <v>13</v>
      </c>
      <c r="F90" t="s">
        <v>13</v>
      </c>
      <c r="G90" t="s">
        <v>13</v>
      </c>
      <c r="H90" t="s">
        <v>13</v>
      </c>
      <c r="I90" t="s">
        <v>13</v>
      </c>
      <c r="J90" t="s">
        <v>13</v>
      </c>
      <c r="K90" t="s">
        <v>13</v>
      </c>
      <c r="L90" t="s">
        <v>13</v>
      </c>
      <c r="M90" t="s">
        <v>13</v>
      </c>
      <c r="N90" t="s">
        <v>13</v>
      </c>
      <c r="O90" t="s">
        <v>13</v>
      </c>
      <c r="P90" t="s">
        <v>13</v>
      </c>
    </row>
    <row r="91" spans="1:16" x14ac:dyDescent="0.25">
      <c r="A91" t="s">
        <v>316</v>
      </c>
      <c r="B91" t="s">
        <v>315</v>
      </c>
      <c r="C91" t="s">
        <v>132</v>
      </c>
      <c r="D91" t="s">
        <v>133</v>
      </c>
      <c r="E91" t="s">
        <v>13</v>
      </c>
      <c r="F91">
        <v>27.904039999999998</v>
      </c>
      <c r="G91">
        <v>29.66189</v>
      </c>
      <c r="H91">
        <v>30.361260000000001</v>
      </c>
      <c r="I91">
        <v>30.543679999999998</v>
      </c>
      <c r="J91">
        <v>30.327030000000001</v>
      </c>
      <c r="K91">
        <v>29.151029999999999</v>
      </c>
      <c r="L91">
        <v>30.125160000000001</v>
      </c>
      <c r="M91">
        <v>30.287610000000001</v>
      </c>
      <c r="N91">
        <v>31.632149999999999</v>
      </c>
      <c r="O91">
        <v>29.760829999999999</v>
      </c>
      <c r="P91">
        <v>30.716059999999999</v>
      </c>
    </row>
    <row r="92" spans="1:16" hidden="1" x14ac:dyDescent="0.25">
      <c r="A92" t="s">
        <v>316</v>
      </c>
      <c r="B92" t="s">
        <v>315</v>
      </c>
      <c r="C92" t="s">
        <v>416</v>
      </c>
      <c r="D92" t="s">
        <v>415</v>
      </c>
      <c r="E92" t="s">
        <v>13</v>
      </c>
      <c r="F92" t="s">
        <v>13</v>
      </c>
      <c r="G92">
        <v>23.341809999999999</v>
      </c>
      <c r="H92">
        <v>24.325620000000001</v>
      </c>
      <c r="I92" t="s">
        <v>13</v>
      </c>
      <c r="J92">
        <v>23.253160000000001</v>
      </c>
      <c r="K92">
        <v>27.556840000000001</v>
      </c>
      <c r="L92">
        <v>27.946490000000001</v>
      </c>
      <c r="M92">
        <v>26.72409</v>
      </c>
      <c r="N92">
        <v>26.645800000000001</v>
      </c>
      <c r="O92">
        <v>25.435829999999999</v>
      </c>
      <c r="P92" t="s">
        <v>13</v>
      </c>
    </row>
    <row r="93" spans="1:16" hidden="1" x14ac:dyDescent="0.25">
      <c r="A93" t="s">
        <v>316</v>
      </c>
      <c r="B93" t="s">
        <v>315</v>
      </c>
      <c r="C93" t="s">
        <v>414</v>
      </c>
      <c r="D93" t="s">
        <v>413</v>
      </c>
      <c r="E93" t="s">
        <v>13</v>
      </c>
      <c r="F93" t="s">
        <v>13</v>
      </c>
      <c r="G93" t="s">
        <v>13</v>
      </c>
      <c r="H93" t="s">
        <v>13</v>
      </c>
      <c r="I93" t="s">
        <v>13</v>
      </c>
      <c r="J93" t="s">
        <v>13</v>
      </c>
      <c r="K93" t="s">
        <v>13</v>
      </c>
      <c r="L93" t="s">
        <v>13</v>
      </c>
      <c r="M93" t="s">
        <v>13</v>
      </c>
      <c r="N93" t="s">
        <v>13</v>
      </c>
      <c r="O93" t="s">
        <v>13</v>
      </c>
      <c r="P93" t="s">
        <v>13</v>
      </c>
    </row>
    <row r="94" spans="1:16" x14ac:dyDescent="0.25">
      <c r="A94" t="s">
        <v>316</v>
      </c>
      <c r="B94" t="s">
        <v>315</v>
      </c>
      <c r="C94" t="s">
        <v>134</v>
      </c>
      <c r="D94" t="s">
        <v>135</v>
      </c>
      <c r="E94" t="s">
        <v>13</v>
      </c>
      <c r="F94">
        <v>16.905480000000001</v>
      </c>
      <c r="G94">
        <v>21.20683</v>
      </c>
      <c r="H94">
        <v>21.45928</v>
      </c>
      <c r="I94">
        <v>23.95271</v>
      </c>
      <c r="J94">
        <v>28.445139999999999</v>
      </c>
      <c r="K94">
        <v>27.642600000000002</v>
      </c>
      <c r="L94">
        <v>29.585059999999999</v>
      </c>
      <c r="M94">
        <v>29.909829999999999</v>
      </c>
      <c r="N94">
        <v>29.484279999999998</v>
      </c>
      <c r="O94">
        <v>27.299019999999999</v>
      </c>
      <c r="P94">
        <v>26.121949999999998</v>
      </c>
    </row>
    <row r="95" spans="1:16" x14ac:dyDescent="0.25">
      <c r="A95" t="s">
        <v>316</v>
      </c>
      <c r="B95" t="s">
        <v>315</v>
      </c>
      <c r="C95" t="s">
        <v>136</v>
      </c>
      <c r="D95" t="s">
        <v>137</v>
      </c>
      <c r="E95" t="s">
        <v>13</v>
      </c>
      <c r="F95" t="s">
        <v>13</v>
      </c>
      <c r="G95">
        <v>11.10097</v>
      </c>
      <c r="H95">
        <v>12.039020000000001</v>
      </c>
      <c r="I95">
        <v>12.30199</v>
      </c>
      <c r="J95">
        <v>11.699009999999999</v>
      </c>
      <c r="K95">
        <v>14.86317</v>
      </c>
      <c r="L95">
        <v>16.87527</v>
      </c>
      <c r="M95">
        <v>12.957280000000001</v>
      </c>
      <c r="N95">
        <v>12.234970000000001</v>
      </c>
      <c r="O95">
        <v>13.172000000000001</v>
      </c>
      <c r="P95">
        <v>11.54701</v>
      </c>
    </row>
    <row r="96" spans="1:16" x14ac:dyDescent="0.25">
      <c r="A96" t="s">
        <v>316</v>
      </c>
      <c r="B96" t="s">
        <v>315</v>
      </c>
      <c r="C96" t="s">
        <v>138</v>
      </c>
      <c r="D96" t="s">
        <v>139</v>
      </c>
      <c r="E96" t="s">
        <v>13</v>
      </c>
      <c r="F96">
        <v>27.805689999999998</v>
      </c>
      <c r="G96">
        <v>29.45166</v>
      </c>
      <c r="H96">
        <v>28.769670000000001</v>
      </c>
      <c r="I96">
        <v>28.989550000000001</v>
      </c>
      <c r="J96">
        <v>33.649140000000003</v>
      </c>
      <c r="K96">
        <v>34.15448</v>
      </c>
      <c r="L96">
        <v>32.482109999999999</v>
      </c>
      <c r="M96">
        <v>31.68338</v>
      </c>
      <c r="N96">
        <v>31.609670000000001</v>
      </c>
      <c r="O96">
        <v>27.60089</v>
      </c>
      <c r="P96">
        <v>28.601430000000001</v>
      </c>
    </row>
    <row r="97" spans="1:16" x14ac:dyDescent="0.25">
      <c r="A97" t="s">
        <v>316</v>
      </c>
      <c r="B97" t="s">
        <v>315</v>
      </c>
      <c r="C97" t="s">
        <v>140</v>
      </c>
      <c r="D97" t="s">
        <v>141</v>
      </c>
      <c r="E97" t="s">
        <v>13</v>
      </c>
      <c r="F97">
        <v>28.188009999999998</v>
      </c>
      <c r="G97">
        <v>15.40095</v>
      </c>
      <c r="H97">
        <v>18.597059999999999</v>
      </c>
      <c r="I97">
        <v>18.388439999999999</v>
      </c>
      <c r="J97">
        <v>21.060870000000001</v>
      </c>
      <c r="K97">
        <v>19.900739999999999</v>
      </c>
      <c r="L97">
        <v>20.239170000000001</v>
      </c>
      <c r="M97">
        <v>20.589559999999999</v>
      </c>
      <c r="N97">
        <v>20.994949999999999</v>
      </c>
      <c r="O97">
        <v>20.070340000000002</v>
      </c>
      <c r="P97">
        <v>19.747219999999999</v>
      </c>
    </row>
    <row r="98" spans="1:16" x14ac:dyDescent="0.25">
      <c r="A98" t="s">
        <v>316</v>
      </c>
      <c r="B98" t="s">
        <v>315</v>
      </c>
      <c r="C98" t="s">
        <v>142</v>
      </c>
      <c r="D98" t="s">
        <v>143</v>
      </c>
      <c r="E98" t="s">
        <v>13</v>
      </c>
      <c r="F98">
        <v>5.9555920000000002</v>
      </c>
      <c r="G98">
        <v>7.459937</v>
      </c>
      <c r="H98">
        <v>8.1202210000000008</v>
      </c>
      <c r="I98">
        <v>6.6954630000000002</v>
      </c>
      <c r="J98">
        <v>8.3164040000000004</v>
      </c>
      <c r="K98">
        <v>9.5854529999999993</v>
      </c>
      <c r="L98">
        <v>9.6977229999999999</v>
      </c>
      <c r="M98">
        <v>9.4787040000000005</v>
      </c>
      <c r="N98">
        <v>9.3390869999999993</v>
      </c>
      <c r="O98">
        <v>7.3384710000000002</v>
      </c>
      <c r="P98">
        <v>7.0742539999999998</v>
      </c>
    </row>
    <row r="99" spans="1:16" x14ac:dyDescent="0.25">
      <c r="A99" t="s">
        <v>316</v>
      </c>
      <c r="B99" t="s">
        <v>315</v>
      </c>
      <c r="C99" t="s">
        <v>144</v>
      </c>
      <c r="D99" t="s">
        <v>145</v>
      </c>
      <c r="E99" t="s">
        <v>13</v>
      </c>
      <c r="F99">
        <v>0.44607639999999998</v>
      </c>
      <c r="G99">
        <v>1.373734</v>
      </c>
      <c r="H99">
        <v>1.44737</v>
      </c>
      <c r="I99">
        <v>1.604244</v>
      </c>
      <c r="J99">
        <v>5.466418</v>
      </c>
      <c r="K99">
        <v>1.6651229999999999</v>
      </c>
      <c r="L99">
        <v>1.5557019999999999</v>
      </c>
      <c r="M99">
        <v>1.348341</v>
      </c>
      <c r="N99">
        <v>1.3023979999999999</v>
      </c>
      <c r="O99">
        <v>1.2299199999999999</v>
      </c>
      <c r="P99">
        <v>1.276241</v>
      </c>
    </row>
    <row r="100" spans="1:16" x14ac:dyDescent="0.25">
      <c r="A100" t="s">
        <v>316</v>
      </c>
      <c r="B100" t="s">
        <v>315</v>
      </c>
      <c r="C100" t="s">
        <v>146</v>
      </c>
      <c r="D100" t="s">
        <v>147</v>
      </c>
      <c r="E100" t="s">
        <v>13</v>
      </c>
      <c r="F100">
        <v>12.8874</v>
      </c>
      <c r="G100">
        <v>17.022010000000002</v>
      </c>
      <c r="H100">
        <v>17.166920000000001</v>
      </c>
      <c r="I100">
        <v>16.445650000000001</v>
      </c>
      <c r="J100">
        <v>16.17971</v>
      </c>
      <c r="K100">
        <v>17.140820000000001</v>
      </c>
      <c r="L100">
        <v>15.451140000000001</v>
      </c>
      <c r="M100">
        <v>16.489100000000001</v>
      </c>
      <c r="N100">
        <v>17.568049999999999</v>
      </c>
      <c r="O100">
        <v>19.001719999999999</v>
      </c>
      <c r="P100">
        <v>19.438079999999999</v>
      </c>
    </row>
    <row r="101" spans="1:16" x14ac:dyDescent="0.25">
      <c r="A101" t="s">
        <v>316</v>
      </c>
      <c r="B101" t="s">
        <v>315</v>
      </c>
      <c r="C101" t="s">
        <v>148</v>
      </c>
      <c r="D101" t="s">
        <v>149</v>
      </c>
      <c r="E101" t="s">
        <v>13</v>
      </c>
      <c r="F101">
        <v>2.1271689999999999</v>
      </c>
      <c r="G101">
        <v>4.4666220000000001</v>
      </c>
      <c r="H101">
        <v>4.511139</v>
      </c>
      <c r="I101">
        <v>4.6073919999999999</v>
      </c>
      <c r="J101">
        <v>4.7370850000000004</v>
      </c>
      <c r="K101">
        <v>5.1018569999999999</v>
      </c>
      <c r="L101">
        <v>5.2492289999999997</v>
      </c>
      <c r="M101">
        <v>5.2722629999999997</v>
      </c>
      <c r="N101">
        <v>5.4959730000000002</v>
      </c>
      <c r="O101">
        <v>4.9440369999999998</v>
      </c>
      <c r="P101">
        <v>5.2745839999999999</v>
      </c>
    </row>
    <row r="102" spans="1:16" hidden="1" x14ac:dyDescent="0.25">
      <c r="A102" t="s">
        <v>316</v>
      </c>
      <c r="B102" t="s">
        <v>315</v>
      </c>
      <c r="C102" t="s">
        <v>412</v>
      </c>
      <c r="D102" t="s">
        <v>411</v>
      </c>
      <c r="E102" t="s">
        <v>13</v>
      </c>
      <c r="F102" t="s">
        <v>13</v>
      </c>
      <c r="G102" t="s">
        <v>13</v>
      </c>
      <c r="H102" t="s">
        <v>13</v>
      </c>
      <c r="I102" t="s">
        <v>13</v>
      </c>
      <c r="J102" t="s">
        <v>13</v>
      </c>
      <c r="K102" t="s">
        <v>13</v>
      </c>
      <c r="L102" t="s">
        <v>13</v>
      </c>
      <c r="M102" t="s">
        <v>13</v>
      </c>
      <c r="N102" t="s">
        <v>13</v>
      </c>
      <c r="O102" t="s">
        <v>13</v>
      </c>
      <c r="P102" t="s">
        <v>13</v>
      </c>
    </row>
    <row r="103" spans="1:16" x14ac:dyDescent="0.25">
      <c r="A103" t="s">
        <v>316</v>
      </c>
      <c r="B103" t="s">
        <v>315</v>
      </c>
      <c r="C103" t="s">
        <v>150</v>
      </c>
      <c r="D103" t="s">
        <v>151</v>
      </c>
      <c r="E103" t="s">
        <v>13</v>
      </c>
      <c r="F103" t="s">
        <v>13</v>
      </c>
      <c r="G103">
        <v>19.23451</v>
      </c>
      <c r="H103">
        <v>24.165220000000001</v>
      </c>
      <c r="I103">
        <v>24.77637</v>
      </c>
      <c r="J103">
        <v>15.284610000000001</v>
      </c>
      <c r="K103">
        <v>19.443090000000002</v>
      </c>
      <c r="L103">
        <v>19.811340000000001</v>
      </c>
      <c r="M103">
        <v>17.839780000000001</v>
      </c>
      <c r="N103">
        <v>15.626849999999999</v>
      </c>
      <c r="O103">
        <v>13.967090000000001</v>
      </c>
      <c r="P103">
        <v>37.250050000000002</v>
      </c>
    </row>
    <row r="104" spans="1:16" x14ac:dyDescent="0.25">
      <c r="A104" t="s">
        <v>316</v>
      </c>
      <c r="B104" t="s">
        <v>315</v>
      </c>
      <c r="C104" t="s">
        <v>152</v>
      </c>
      <c r="D104" t="s">
        <v>153</v>
      </c>
      <c r="E104" t="s">
        <v>13</v>
      </c>
      <c r="F104">
        <v>2.883734</v>
      </c>
      <c r="G104">
        <v>6.7802490000000004</v>
      </c>
      <c r="H104">
        <v>6.8588339999999999</v>
      </c>
      <c r="I104">
        <v>10.70941</v>
      </c>
      <c r="J104">
        <v>16.063669999999998</v>
      </c>
      <c r="K104">
        <v>14.431760000000001</v>
      </c>
      <c r="L104">
        <v>14.6578</v>
      </c>
      <c r="M104">
        <v>15.390930000000001</v>
      </c>
      <c r="N104">
        <v>15.26282</v>
      </c>
      <c r="O104">
        <v>11.423629999999999</v>
      </c>
      <c r="P104">
        <v>10.9863</v>
      </c>
    </row>
    <row r="105" spans="1:16" hidden="1" x14ac:dyDescent="0.25">
      <c r="A105" t="s">
        <v>316</v>
      </c>
      <c r="B105" t="s">
        <v>315</v>
      </c>
      <c r="C105" t="s">
        <v>410</v>
      </c>
      <c r="D105" t="s">
        <v>409</v>
      </c>
      <c r="E105" t="s">
        <v>13</v>
      </c>
      <c r="F105" t="s">
        <v>13</v>
      </c>
      <c r="G105" t="s">
        <v>13</v>
      </c>
      <c r="H105" t="s">
        <v>13</v>
      </c>
      <c r="I105" t="s">
        <v>13</v>
      </c>
      <c r="J105" t="s">
        <v>13</v>
      </c>
      <c r="K105" t="s">
        <v>13</v>
      </c>
      <c r="L105" t="s">
        <v>13</v>
      </c>
      <c r="M105" t="s">
        <v>13</v>
      </c>
      <c r="N105" t="s">
        <v>13</v>
      </c>
      <c r="O105" t="s">
        <v>13</v>
      </c>
      <c r="P105" t="s">
        <v>13</v>
      </c>
    </row>
    <row r="106" spans="1:16" x14ac:dyDescent="0.25">
      <c r="A106" t="s">
        <v>316</v>
      </c>
      <c r="B106" t="s">
        <v>315</v>
      </c>
      <c r="C106" t="s">
        <v>154</v>
      </c>
      <c r="D106" t="s">
        <v>155</v>
      </c>
      <c r="E106" t="s">
        <v>13</v>
      </c>
      <c r="F106">
        <v>26.13298</v>
      </c>
      <c r="G106">
        <v>31.120560000000001</v>
      </c>
      <c r="H106">
        <v>32.07264</v>
      </c>
      <c r="I106">
        <v>31.437539999999998</v>
      </c>
      <c r="J106">
        <v>29.729749999999999</v>
      </c>
      <c r="K106">
        <v>30.284890000000001</v>
      </c>
      <c r="L106">
        <v>31.237410000000001</v>
      </c>
      <c r="M106">
        <v>32.045470000000002</v>
      </c>
      <c r="N106">
        <v>32.362720000000003</v>
      </c>
      <c r="O106">
        <v>28.465019999999999</v>
      </c>
      <c r="P106">
        <v>29.302720000000001</v>
      </c>
    </row>
    <row r="107" spans="1:16" x14ac:dyDescent="0.25">
      <c r="A107" t="s">
        <v>316</v>
      </c>
      <c r="B107" t="s">
        <v>315</v>
      </c>
      <c r="C107" t="s">
        <v>156</v>
      </c>
      <c r="D107" t="s">
        <v>157</v>
      </c>
      <c r="E107" t="s">
        <v>13</v>
      </c>
      <c r="F107">
        <v>11.043839999999999</v>
      </c>
      <c r="G107">
        <v>13.69699</v>
      </c>
      <c r="H107">
        <v>10.923</v>
      </c>
      <c r="I107">
        <v>12.98474</v>
      </c>
      <c r="J107">
        <v>14.518269999999999</v>
      </c>
      <c r="K107">
        <v>11.890459999999999</v>
      </c>
      <c r="L107">
        <v>15.721679999999999</v>
      </c>
      <c r="M107">
        <v>14.28886</v>
      </c>
      <c r="N107">
        <v>13.605029999999999</v>
      </c>
      <c r="O107">
        <v>11.825710000000001</v>
      </c>
      <c r="P107">
        <v>13.169449999999999</v>
      </c>
    </row>
    <row r="108" spans="1:16" x14ac:dyDescent="0.25">
      <c r="A108" t="s">
        <v>316</v>
      </c>
      <c r="B108" t="s">
        <v>315</v>
      </c>
      <c r="C108" t="s">
        <v>158</v>
      </c>
      <c r="D108" t="s">
        <v>159</v>
      </c>
      <c r="E108" t="s">
        <v>13</v>
      </c>
      <c r="F108" t="s">
        <v>13</v>
      </c>
      <c r="G108">
        <v>19.91226</v>
      </c>
      <c r="H108">
        <v>17.755600000000001</v>
      </c>
      <c r="I108">
        <v>18.18909</v>
      </c>
      <c r="J108">
        <v>20.697669999999999</v>
      </c>
      <c r="K108">
        <v>18.988779999999998</v>
      </c>
      <c r="L108">
        <v>17.788959999999999</v>
      </c>
      <c r="M108">
        <v>17.928419999999999</v>
      </c>
      <c r="N108">
        <v>18.18927</v>
      </c>
      <c r="O108">
        <v>17.063659999999999</v>
      </c>
      <c r="P108">
        <v>15.477119999999999</v>
      </c>
    </row>
    <row r="109" spans="1:16" x14ac:dyDescent="0.25">
      <c r="A109" t="s">
        <v>316</v>
      </c>
      <c r="B109" t="s">
        <v>315</v>
      </c>
      <c r="C109" t="s">
        <v>160</v>
      </c>
      <c r="D109" t="s">
        <v>161</v>
      </c>
      <c r="E109" t="s">
        <v>13</v>
      </c>
      <c r="F109">
        <v>15.58677</v>
      </c>
      <c r="G109">
        <v>16.07545</v>
      </c>
      <c r="H109">
        <v>17.223389999999998</v>
      </c>
      <c r="I109">
        <v>17.33325</v>
      </c>
      <c r="J109">
        <v>17.353159999999999</v>
      </c>
      <c r="K109">
        <v>16.869309999999999</v>
      </c>
      <c r="L109">
        <v>16.95478</v>
      </c>
      <c r="M109">
        <v>16.26689</v>
      </c>
      <c r="N109">
        <v>14.277340000000001</v>
      </c>
      <c r="O109">
        <v>14.28424</v>
      </c>
      <c r="P109">
        <v>12.85732</v>
      </c>
    </row>
    <row r="110" spans="1:16" x14ac:dyDescent="0.25">
      <c r="A110" t="s">
        <v>316</v>
      </c>
      <c r="B110" t="s">
        <v>315</v>
      </c>
      <c r="C110" t="s">
        <v>162</v>
      </c>
      <c r="D110" t="s">
        <v>163</v>
      </c>
      <c r="E110" t="s">
        <v>13</v>
      </c>
      <c r="F110">
        <v>29.470829999999999</v>
      </c>
      <c r="G110">
        <v>61.391579999999998</v>
      </c>
      <c r="H110">
        <v>62.43721</v>
      </c>
      <c r="I110">
        <v>55.667819999999999</v>
      </c>
      <c r="J110">
        <v>54.555950000000003</v>
      </c>
      <c r="K110">
        <v>56.049660000000003</v>
      </c>
      <c r="L110">
        <v>55.931420000000003</v>
      </c>
      <c r="M110">
        <v>55.21555</v>
      </c>
      <c r="N110">
        <v>54.2682</v>
      </c>
      <c r="O110">
        <v>50.489620000000002</v>
      </c>
      <c r="P110">
        <v>50.105640000000001</v>
      </c>
    </row>
    <row r="111" spans="1:16" x14ac:dyDescent="0.25">
      <c r="A111" t="s">
        <v>316</v>
      </c>
      <c r="B111" t="s">
        <v>315</v>
      </c>
      <c r="C111" t="s">
        <v>164</v>
      </c>
      <c r="D111" t="s">
        <v>165</v>
      </c>
      <c r="E111" t="s">
        <v>13</v>
      </c>
      <c r="F111">
        <v>3.6382690000000002</v>
      </c>
      <c r="G111">
        <v>2.8883139999999998</v>
      </c>
      <c r="H111">
        <v>2.4477690000000001</v>
      </c>
      <c r="I111">
        <v>2.3308270000000002</v>
      </c>
      <c r="J111">
        <v>2.022221</v>
      </c>
      <c r="K111">
        <v>2.0610249999999999</v>
      </c>
      <c r="L111">
        <v>2.127621</v>
      </c>
      <c r="M111">
        <v>2.589877</v>
      </c>
      <c r="N111">
        <v>3.0619740000000002</v>
      </c>
      <c r="O111">
        <v>2.8119640000000001</v>
      </c>
      <c r="P111">
        <v>2.9506830000000002</v>
      </c>
    </row>
    <row r="112" spans="1:16" x14ac:dyDescent="0.25">
      <c r="A112" t="s">
        <v>316</v>
      </c>
      <c r="B112" t="s">
        <v>315</v>
      </c>
      <c r="C112" t="s">
        <v>166</v>
      </c>
      <c r="D112" t="s">
        <v>167</v>
      </c>
      <c r="E112" t="s">
        <v>13</v>
      </c>
      <c r="F112">
        <v>16.156749999999999</v>
      </c>
      <c r="G112">
        <v>22.177689999999998</v>
      </c>
      <c r="H112">
        <v>22.99755</v>
      </c>
      <c r="I112">
        <v>25.376539999999999</v>
      </c>
      <c r="J112">
        <v>21.196059999999999</v>
      </c>
      <c r="K112">
        <v>23.692309999999999</v>
      </c>
      <c r="L112">
        <v>24.620159999999998</v>
      </c>
      <c r="M112">
        <v>23.96219</v>
      </c>
      <c r="N112">
        <v>24.187919999999998</v>
      </c>
      <c r="O112">
        <v>21.51275</v>
      </c>
      <c r="P112">
        <v>23.23094</v>
      </c>
    </row>
    <row r="113" spans="1:16" hidden="1" x14ac:dyDescent="0.25">
      <c r="A113" t="s">
        <v>316</v>
      </c>
      <c r="B113" t="s">
        <v>315</v>
      </c>
      <c r="C113" t="s">
        <v>408</v>
      </c>
      <c r="D113" t="s">
        <v>407</v>
      </c>
      <c r="E113" t="s">
        <v>13</v>
      </c>
      <c r="F113" t="s">
        <v>13</v>
      </c>
      <c r="G113" t="s">
        <v>13</v>
      </c>
      <c r="H113" t="s">
        <v>13</v>
      </c>
      <c r="I113" t="s">
        <v>13</v>
      </c>
      <c r="J113" t="s">
        <v>13</v>
      </c>
      <c r="K113" t="s">
        <v>13</v>
      </c>
      <c r="L113" t="s">
        <v>13</v>
      </c>
      <c r="M113" t="s">
        <v>13</v>
      </c>
      <c r="N113" t="s">
        <v>13</v>
      </c>
      <c r="O113" t="s">
        <v>13</v>
      </c>
      <c r="P113" t="s">
        <v>13</v>
      </c>
    </row>
    <row r="114" spans="1:16" hidden="1" x14ac:dyDescent="0.25">
      <c r="A114" t="s">
        <v>316</v>
      </c>
      <c r="B114" t="s">
        <v>315</v>
      </c>
      <c r="C114" t="s">
        <v>406</v>
      </c>
      <c r="D114" t="s">
        <v>405</v>
      </c>
      <c r="E114" t="s">
        <v>13</v>
      </c>
      <c r="F114" t="s">
        <v>13</v>
      </c>
      <c r="G114" t="s">
        <v>13</v>
      </c>
      <c r="H114" t="s">
        <v>13</v>
      </c>
      <c r="I114" t="s">
        <v>13</v>
      </c>
      <c r="J114" t="s">
        <v>13</v>
      </c>
      <c r="K114" t="s">
        <v>13</v>
      </c>
      <c r="L114" t="s">
        <v>13</v>
      </c>
      <c r="M114" t="s">
        <v>13</v>
      </c>
      <c r="N114" t="s">
        <v>13</v>
      </c>
      <c r="O114" t="s">
        <v>13</v>
      </c>
      <c r="P114" t="s">
        <v>13</v>
      </c>
    </row>
    <row r="115" spans="1:16" x14ac:dyDescent="0.25">
      <c r="A115" t="s">
        <v>316</v>
      </c>
      <c r="B115" t="s">
        <v>315</v>
      </c>
      <c r="C115" t="s">
        <v>168</v>
      </c>
      <c r="D115" t="s">
        <v>169</v>
      </c>
      <c r="E115" t="s">
        <v>13</v>
      </c>
      <c r="F115">
        <v>7.1888230000000002</v>
      </c>
      <c r="G115">
        <v>11.91095</v>
      </c>
      <c r="H115">
        <v>11.806139999999999</v>
      </c>
      <c r="I115">
        <v>11.51376</v>
      </c>
      <c r="J115">
        <v>10.98631</v>
      </c>
      <c r="K115">
        <v>11.16038</v>
      </c>
      <c r="L115">
        <v>11.6591</v>
      </c>
      <c r="M115">
        <v>11.442629999999999</v>
      </c>
      <c r="N115">
        <v>11.27304</v>
      </c>
      <c r="O115">
        <v>10.48836</v>
      </c>
      <c r="P115">
        <v>10.19327</v>
      </c>
    </row>
    <row r="116" spans="1:16" hidden="1" x14ac:dyDescent="0.25">
      <c r="A116" t="s">
        <v>316</v>
      </c>
      <c r="B116" t="s">
        <v>315</v>
      </c>
      <c r="C116" t="s">
        <v>404</v>
      </c>
      <c r="D116" t="s">
        <v>403</v>
      </c>
      <c r="E116" t="s">
        <v>13</v>
      </c>
      <c r="F116" t="s">
        <v>13</v>
      </c>
      <c r="G116" t="s">
        <v>13</v>
      </c>
      <c r="H116" t="s">
        <v>13</v>
      </c>
      <c r="I116" t="s">
        <v>13</v>
      </c>
      <c r="J116" t="s">
        <v>13</v>
      </c>
      <c r="K116" t="s">
        <v>13</v>
      </c>
      <c r="L116" t="s">
        <v>13</v>
      </c>
      <c r="M116" t="s">
        <v>13</v>
      </c>
      <c r="N116" t="s">
        <v>13</v>
      </c>
      <c r="O116" t="s">
        <v>13</v>
      </c>
      <c r="P116" t="s">
        <v>13</v>
      </c>
    </row>
    <row r="117" spans="1:16" x14ac:dyDescent="0.25">
      <c r="A117" t="s">
        <v>316</v>
      </c>
      <c r="B117" t="s">
        <v>315</v>
      </c>
      <c r="C117" t="s">
        <v>170</v>
      </c>
      <c r="D117" t="s">
        <v>171</v>
      </c>
      <c r="E117" t="s">
        <v>13</v>
      </c>
      <c r="F117">
        <v>15.09553</v>
      </c>
      <c r="G117">
        <v>18.249030000000001</v>
      </c>
      <c r="H117">
        <v>16.964089999999999</v>
      </c>
      <c r="I117">
        <v>15.786009999999999</v>
      </c>
      <c r="J117">
        <v>16.554939999999998</v>
      </c>
      <c r="K117">
        <v>16.710429999999999</v>
      </c>
      <c r="L117">
        <v>16.658860000000001</v>
      </c>
      <c r="M117">
        <v>17.179539999999999</v>
      </c>
      <c r="N117">
        <v>17.635159999999999</v>
      </c>
      <c r="O117">
        <v>16.103750000000002</v>
      </c>
      <c r="P117">
        <v>16.577870000000001</v>
      </c>
    </row>
    <row r="118" spans="1:16" x14ac:dyDescent="0.25">
      <c r="A118" t="s">
        <v>316</v>
      </c>
      <c r="B118" t="s">
        <v>315</v>
      </c>
      <c r="C118" t="s">
        <v>172</v>
      </c>
      <c r="D118" t="s">
        <v>173</v>
      </c>
      <c r="E118" t="s">
        <v>13</v>
      </c>
      <c r="F118">
        <v>23.766179999999999</v>
      </c>
      <c r="G118">
        <v>17.91123</v>
      </c>
      <c r="H118">
        <v>16.640270000000001</v>
      </c>
      <c r="I118">
        <v>14.940149999999999</v>
      </c>
      <c r="J118">
        <v>14.13635</v>
      </c>
      <c r="K118">
        <v>15.35707</v>
      </c>
      <c r="L118">
        <v>16.071539999999999</v>
      </c>
      <c r="M118">
        <v>15.92686</v>
      </c>
      <c r="N118">
        <v>16.839099999999998</v>
      </c>
      <c r="O118">
        <v>16.39312</v>
      </c>
      <c r="P118">
        <v>14.620979999999999</v>
      </c>
    </row>
    <row r="119" spans="1:16" x14ac:dyDescent="0.25">
      <c r="A119" t="s">
        <v>316</v>
      </c>
      <c r="B119" t="s">
        <v>315</v>
      </c>
      <c r="C119" t="s">
        <v>174</v>
      </c>
      <c r="D119" t="s">
        <v>175</v>
      </c>
      <c r="E119" t="s">
        <v>13</v>
      </c>
      <c r="F119" t="s">
        <v>13</v>
      </c>
      <c r="G119">
        <v>11.362259999999999</v>
      </c>
      <c r="H119">
        <v>15.689970000000001</v>
      </c>
      <c r="I119">
        <v>12.22057</v>
      </c>
      <c r="J119">
        <v>11.453379999999999</v>
      </c>
      <c r="K119">
        <v>9.6617709999999999</v>
      </c>
      <c r="L119">
        <v>11.69519</v>
      </c>
      <c r="M119">
        <v>12.10984</v>
      </c>
      <c r="N119">
        <v>10.80275</v>
      </c>
      <c r="O119">
        <v>9.840033</v>
      </c>
      <c r="P119">
        <v>19.479469999999999</v>
      </c>
    </row>
    <row r="120" spans="1:16" x14ac:dyDescent="0.25">
      <c r="A120" t="s">
        <v>316</v>
      </c>
      <c r="B120" t="s">
        <v>315</v>
      </c>
      <c r="C120" t="s">
        <v>176</v>
      </c>
      <c r="D120" t="s">
        <v>177</v>
      </c>
      <c r="E120" t="s">
        <v>13</v>
      </c>
      <c r="F120">
        <v>5.7760680000000004</v>
      </c>
      <c r="G120">
        <v>6.8520370000000002</v>
      </c>
      <c r="H120">
        <v>7.2182500000000003</v>
      </c>
      <c r="I120">
        <v>7.3846850000000002</v>
      </c>
      <c r="J120">
        <v>8.2778369999999999</v>
      </c>
      <c r="K120">
        <v>8.1380289999999995</v>
      </c>
      <c r="L120">
        <v>7.0955019999999998</v>
      </c>
      <c r="M120">
        <v>8.3516539999999999</v>
      </c>
      <c r="N120">
        <v>7.9306169999999998</v>
      </c>
      <c r="O120">
        <v>6.7650329999999999</v>
      </c>
      <c r="P120">
        <v>7.1141529999999999</v>
      </c>
    </row>
    <row r="121" spans="1:16" x14ac:dyDescent="0.25">
      <c r="A121" t="s">
        <v>316</v>
      </c>
      <c r="B121" t="s">
        <v>315</v>
      </c>
      <c r="C121" t="s">
        <v>178</v>
      </c>
      <c r="D121" t="s">
        <v>179</v>
      </c>
      <c r="E121" t="s">
        <v>13</v>
      </c>
      <c r="F121">
        <v>15.962429999999999</v>
      </c>
      <c r="G121">
        <v>20.166</v>
      </c>
      <c r="H121">
        <v>19.705400000000001</v>
      </c>
      <c r="I121">
        <v>19.990600000000001</v>
      </c>
      <c r="J121">
        <v>20.476240000000001</v>
      </c>
      <c r="K121">
        <v>20.621110000000002</v>
      </c>
      <c r="L121">
        <v>20.470739999999999</v>
      </c>
      <c r="M121">
        <v>18.79907</v>
      </c>
      <c r="N121">
        <v>14.52089</v>
      </c>
      <c r="O121">
        <v>17.7362</v>
      </c>
      <c r="P121">
        <v>20.189699999999998</v>
      </c>
    </row>
    <row r="122" spans="1:16" x14ac:dyDescent="0.25">
      <c r="A122" t="s">
        <v>316</v>
      </c>
      <c r="B122" t="s">
        <v>315</v>
      </c>
      <c r="C122" t="s">
        <v>180</v>
      </c>
      <c r="D122" t="s">
        <v>181</v>
      </c>
      <c r="E122" t="s">
        <v>13</v>
      </c>
      <c r="F122">
        <v>16.630310000000001</v>
      </c>
      <c r="G122">
        <v>18.784500000000001</v>
      </c>
      <c r="H122">
        <v>17.152069999999998</v>
      </c>
      <c r="I122">
        <v>18.02627</v>
      </c>
      <c r="J122">
        <v>17.667359999999999</v>
      </c>
      <c r="K122">
        <v>21.732220000000002</v>
      </c>
      <c r="L122">
        <v>20.05368</v>
      </c>
      <c r="M122">
        <v>19.59272</v>
      </c>
      <c r="N122">
        <v>22.37866</v>
      </c>
      <c r="O122">
        <v>20.19481</v>
      </c>
      <c r="P122">
        <v>16.92211</v>
      </c>
    </row>
    <row r="123" spans="1:16" x14ac:dyDescent="0.25">
      <c r="A123" t="s">
        <v>316</v>
      </c>
      <c r="B123" t="s">
        <v>315</v>
      </c>
      <c r="C123" t="s">
        <v>182</v>
      </c>
      <c r="D123" t="s">
        <v>183</v>
      </c>
      <c r="E123" t="s">
        <v>13</v>
      </c>
      <c r="F123" t="s">
        <v>13</v>
      </c>
      <c r="G123" t="s">
        <v>13</v>
      </c>
      <c r="H123" t="s">
        <v>13</v>
      </c>
      <c r="I123" t="s">
        <v>13</v>
      </c>
      <c r="J123">
        <v>6.7304810000000002</v>
      </c>
      <c r="K123">
        <v>8.177073</v>
      </c>
      <c r="L123">
        <v>7.9881880000000001</v>
      </c>
      <c r="M123">
        <v>9.9415119999999995</v>
      </c>
      <c r="N123">
        <v>9.9985540000000004</v>
      </c>
      <c r="O123">
        <v>6.2444519999999999</v>
      </c>
      <c r="P123">
        <v>9.7235469999999999</v>
      </c>
    </row>
    <row r="124" spans="1:16" hidden="1" x14ac:dyDescent="0.25">
      <c r="A124" t="s">
        <v>316</v>
      </c>
      <c r="B124" t="s">
        <v>315</v>
      </c>
      <c r="C124" t="s">
        <v>402</v>
      </c>
      <c r="D124" t="s">
        <v>401</v>
      </c>
      <c r="E124" t="s">
        <v>13</v>
      </c>
      <c r="F124">
        <v>24.994119999999999</v>
      </c>
      <c r="G124">
        <v>49.847900000000003</v>
      </c>
      <c r="H124">
        <v>43.787579999999998</v>
      </c>
      <c r="I124">
        <v>33.489409999999999</v>
      </c>
      <c r="J124">
        <v>24.392050000000001</v>
      </c>
      <c r="K124">
        <v>19.049320000000002</v>
      </c>
      <c r="L124">
        <v>21.221119999999999</v>
      </c>
      <c r="M124">
        <v>24.686720000000001</v>
      </c>
      <c r="N124">
        <v>26.63289</v>
      </c>
      <c r="O124">
        <v>32.053100000000001</v>
      </c>
      <c r="P124" t="s">
        <v>13</v>
      </c>
    </row>
    <row r="125" spans="1:16" hidden="1" x14ac:dyDescent="0.25">
      <c r="A125" t="s">
        <v>316</v>
      </c>
      <c r="B125" t="s">
        <v>315</v>
      </c>
      <c r="C125" t="s">
        <v>400</v>
      </c>
      <c r="D125" t="s">
        <v>399</v>
      </c>
      <c r="E125" t="s">
        <v>13</v>
      </c>
      <c r="F125" t="s">
        <v>13</v>
      </c>
      <c r="G125" t="s">
        <v>13</v>
      </c>
      <c r="H125" t="s">
        <v>13</v>
      </c>
      <c r="I125" t="s">
        <v>13</v>
      </c>
      <c r="J125" t="s">
        <v>13</v>
      </c>
      <c r="K125" t="s">
        <v>13</v>
      </c>
      <c r="L125" t="s">
        <v>13</v>
      </c>
      <c r="M125" t="s">
        <v>13</v>
      </c>
      <c r="N125" t="s">
        <v>13</v>
      </c>
      <c r="O125" t="s">
        <v>13</v>
      </c>
      <c r="P125" t="s">
        <v>13</v>
      </c>
    </row>
    <row r="126" spans="1:16" x14ac:dyDescent="0.25">
      <c r="A126" t="s">
        <v>316</v>
      </c>
      <c r="B126" t="s">
        <v>315</v>
      </c>
      <c r="C126" t="s">
        <v>184</v>
      </c>
      <c r="D126" t="s">
        <v>185</v>
      </c>
      <c r="E126" t="s">
        <v>13</v>
      </c>
      <c r="F126">
        <v>6.9121649999999999</v>
      </c>
      <c r="G126">
        <v>7.5030409999999996</v>
      </c>
      <c r="H126">
        <v>8.2310669999999995</v>
      </c>
      <c r="I126">
        <v>7.878546</v>
      </c>
      <c r="J126">
        <v>8.7524630000000005</v>
      </c>
      <c r="K126">
        <v>7.1859900000000003</v>
      </c>
      <c r="L126">
        <v>6.8075890000000001</v>
      </c>
      <c r="M126">
        <v>6.853796</v>
      </c>
      <c r="N126">
        <v>6.2703319999999998</v>
      </c>
      <c r="O126">
        <v>5.5264699999999998</v>
      </c>
      <c r="P126">
        <v>5.1224340000000002</v>
      </c>
    </row>
    <row r="127" spans="1:16" x14ac:dyDescent="0.25">
      <c r="A127" t="s">
        <v>316</v>
      </c>
      <c r="B127" t="s">
        <v>315</v>
      </c>
      <c r="C127" t="s">
        <v>186</v>
      </c>
      <c r="D127" t="s">
        <v>187</v>
      </c>
      <c r="E127" t="s">
        <v>13</v>
      </c>
      <c r="F127">
        <v>24.138670000000001</v>
      </c>
      <c r="G127">
        <v>41.288429999999998</v>
      </c>
      <c r="H127">
        <v>44.264620000000001</v>
      </c>
      <c r="I127">
        <v>38.706670000000003</v>
      </c>
      <c r="J127">
        <v>46.617330000000003</v>
      </c>
      <c r="K127">
        <v>54.32573</v>
      </c>
      <c r="L127">
        <v>57.440710000000003</v>
      </c>
      <c r="M127">
        <v>53.499490000000002</v>
      </c>
      <c r="N127">
        <v>55.105730000000001</v>
      </c>
      <c r="O127">
        <v>54.364989999999999</v>
      </c>
      <c r="P127">
        <v>51.668309999999998</v>
      </c>
    </row>
    <row r="128" spans="1:16" x14ac:dyDescent="0.25">
      <c r="A128" t="s">
        <v>316</v>
      </c>
      <c r="B128" t="s">
        <v>315</v>
      </c>
      <c r="C128" t="s">
        <v>188</v>
      </c>
      <c r="D128" t="s">
        <v>189</v>
      </c>
      <c r="E128" t="s">
        <v>13</v>
      </c>
      <c r="F128">
        <v>36.807850000000002</v>
      </c>
      <c r="G128">
        <v>18.662649999999999</v>
      </c>
      <c r="H128">
        <v>17.051159999999999</v>
      </c>
      <c r="I128">
        <v>17.129709999999999</v>
      </c>
      <c r="J128">
        <v>22.873010000000001</v>
      </c>
      <c r="K128">
        <v>22.864000000000001</v>
      </c>
      <c r="L128">
        <v>23.343509999999998</v>
      </c>
      <c r="M128">
        <v>23.13064</v>
      </c>
      <c r="N128">
        <v>22.96726</v>
      </c>
      <c r="O128">
        <v>22.182950000000002</v>
      </c>
      <c r="P128">
        <v>20.259699999999999</v>
      </c>
    </row>
    <row r="129" spans="1:16" hidden="1" x14ac:dyDescent="0.25">
      <c r="A129" t="s">
        <v>316</v>
      </c>
      <c r="B129" t="s">
        <v>315</v>
      </c>
      <c r="C129" t="s">
        <v>398</v>
      </c>
      <c r="D129" t="s">
        <v>397</v>
      </c>
      <c r="E129" t="s">
        <v>13</v>
      </c>
      <c r="F129">
        <v>15.849349999999999</v>
      </c>
      <c r="G129">
        <v>13.12575</v>
      </c>
      <c r="H129">
        <v>15.21086</v>
      </c>
      <c r="I129">
        <v>16.856030000000001</v>
      </c>
      <c r="J129">
        <v>18.539249999999999</v>
      </c>
      <c r="K129">
        <v>16.61008</v>
      </c>
      <c r="L129">
        <v>16.455410000000001</v>
      </c>
      <c r="M129">
        <v>16.662769999999998</v>
      </c>
      <c r="N129">
        <v>15.92543</v>
      </c>
      <c r="O129">
        <v>14.064690000000001</v>
      </c>
      <c r="P129" t="s">
        <v>13</v>
      </c>
    </row>
    <row r="130" spans="1:16" x14ac:dyDescent="0.25">
      <c r="A130" t="s">
        <v>316</v>
      </c>
      <c r="B130" t="s">
        <v>315</v>
      </c>
      <c r="C130" t="s">
        <v>190</v>
      </c>
      <c r="D130" t="s">
        <v>191</v>
      </c>
      <c r="E130" t="s">
        <v>13</v>
      </c>
      <c r="F130">
        <v>14.71622</v>
      </c>
      <c r="G130">
        <v>16.93449</v>
      </c>
      <c r="H130">
        <v>18.551950000000001</v>
      </c>
      <c r="I130">
        <v>21.387309999999999</v>
      </c>
      <c r="J130">
        <v>17.333089999999999</v>
      </c>
      <c r="K130">
        <v>16.3916</v>
      </c>
      <c r="L130">
        <v>15.36753</v>
      </c>
      <c r="M130">
        <v>15.4544</v>
      </c>
      <c r="N130">
        <v>16.12405</v>
      </c>
      <c r="O130">
        <v>16.98583</v>
      </c>
      <c r="P130">
        <v>14.50642</v>
      </c>
    </row>
    <row r="131" spans="1:16" x14ac:dyDescent="0.25">
      <c r="A131" t="s">
        <v>316</v>
      </c>
      <c r="B131" t="s">
        <v>315</v>
      </c>
      <c r="C131" t="s">
        <v>192</v>
      </c>
      <c r="D131" t="s">
        <v>193</v>
      </c>
      <c r="E131" t="s">
        <v>13</v>
      </c>
      <c r="F131">
        <v>16.620930000000001</v>
      </c>
      <c r="G131">
        <v>19.249089999999999</v>
      </c>
      <c r="H131">
        <v>19.073399999999999</v>
      </c>
      <c r="I131">
        <v>19.775770000000001</v>
      </c>
      <c r="J131">
        <v>16.5578</v>
      </c>
      <c r="K131">
        <v>18.009180000000001</v>
      </c>
      <c r="L131">
        <v>19.698730000000001</v>
      </c>
      <c r="M131">
        <v>20.40258</v>
      </c>
      <c r="N131">
        <v>21.136189999999999</v>
      </c>
      <c r="O131">
        <v>20.40033</v>
      </c>
      <c r="P131">
        <v>20.71885</v>
      </c>
    </row>
    <row r="132" spans="1:16" hidden="1" x14ac:dyDescent="0.25">
      <c r="A132" t="s">
        <v>316</v>
      </c>
      <c r="B132" t="s">
        <v>315</v>
      </c>
      <c r="C132" t="s">
        <v>396</v>
      </c>
      <c r="D132" t="s">
        <v>395</v>
      </c>
      <c r="E132" t="s">
        <v>13</v>
      </c>
      <c r="F132" t="s">
        <v>13</v>
      </c>
      <c r="G132" t="s">
        <v>13</v>
      </c>
      <c r="H132" t="s">
        <v>13</v>
      </c>
      <c r="I132" t="s">
        <v>13</v>
      </c>
      <c r="J132" t="s">
        <v>13</v>
      </c>
      <c r="K132">
        <v>18.85819</v>
      </c>
      <c r="L132">
        <v>18.733509999999999</v>
      </c>
      <c r="M132">
        <v>19.155190000000001</v>
      </c>
      <c r="N132">
        <v>18.987100000000002</v>
      </c>
      <c r="O132">
        <v>14.79171</v>
      </c>
      <c r="P132" t="s">
        <v>13</v>
      </c>
    </row>
    <row r="133" spans="1:16" hidden="1" x14ac:dyDescent="0.25">
      <c r="A133" t="s">
        <v>316</v>
      </c>
      <c r="B133" t="s">
        <v>315</v>
      </c>
      <c r="C133" t="s">
        <v>394</v>
      </c>
      <c r="D133" t="s">
        <v>393</v>
      </c>
      <c r="E133" t="s">
        <v>13</v>
      </c>
      <c r="F133">
        <v>13.768829999999999</v>
      </c>
      <c r="G133">
        <v>19.019459999999999</v>
      </c>
      <c r="H133">
        <v>16.000879999999999</v>
      </c>
      <c r="I133">
        <v>12.17493</v>
      </c>
      <c r="J133">
        <v>13.5586</v>
      </c>
      <c r="K133">
        <v>13.93234</v>
      </c>
      <c r="L133">
        <v>13.06048</v>
      </c>
      <c r="M133">
        <v>14.88264</v>
      </c>
      <c r="N133">
        <v>14.010809999999999</v>
      </c>
      <c r="O133">
        <v>12.826750000000001</v>
      </c>
      <c r="P133" t="s">
        <v>13</v>
      </c>
    </row>
    <row r="134" spans="1:16" x14ac:dyDescent="0.25">
      <c r="A134" t="s">
        <v>316</v>
      </c>
      <c r="B134" t="s">
        <v>315</v>
      </c>
      <c r="C134" t="s">
        <v>194</v>
      </c>
      <c r="D134" t="s">
        <v>195</v>
      </c>
      <c r="E134" t="s">
        <v>13</v>
      </c>
      <c r="F134">
        <v>18.144010000000002</v>
      </c>
      <c r="G134">
        <v>26.665659999999999</v>
      </c>
      <c r="H134">
        <v>26.27657</v>
      </c>
      <c r="I134">
        <v>19.476970000000001</v>
      </c>
      <c r="J134">
        <v>18.291709999999998</v>
      </c>
      <c r="K134">
        <v>18.694210000000002</v>
      </c>
      <c r="L134">
        <v>20.531459999999999</v>
      </c>
      <c r="M134">
        <v>19.538029999999999</v>
      </c>
      <c r="N134">
        <v>20.789909999999999</v>
      </c>
      <c r="O134">
        <v>19.10613</v>
      </c>
      <c r="P134">
        <v>18.408840000000001</v>
      </c>
    </row>
    <row r="135" spans="1:16" hidden="1" x14ac:dyDescent="0.25">
      <c r="A135" t="s">
        <v>316</v>
      </c>
      <c r="B135" t="s">
        <v>315</v>
      </c>
      <c r="C135" t="s">
        <v>392</v>
      </c>
      <c r="D135" t="s">
        <v>391</v>
      </c>
      <c r="E135" t="s">
        <v>13</v>
      </c>
      <c r="F135" t="s">
        <v>13</v>
      </c>
      <c r="G135" t="s">
        <v>13</v>
      </c>
      <c r="H135" t="s">
        <v>13</v>
      </c>
      <c r="I135" t="s">
        <v>13</v>
      </c>
      <c r="J135" t="s">
        <v>13</v>
      </c>
      <c r="K135" t="s">
        <v>13</v>
      </c>
      <c r="L135" t="s">
        <v>13</v>
      </c>
      <c r="M135" t="s">
        <v>13</v>
      </c>
      <c r="N135" t="s">
        <v>13</v>
      </c>
      <c r="O135" t="s">
        <v>13</v>
      </c>
      <c r="P135" t="s">
        <v>13</v>
      </c>
    </row>
    <row r="136" spans="1:16" hidden="1" x14ac:dyDescent="0.25">
      <c r="A136" t="s">
        <v>316</v>
      </c>
      <c r="B136" t="s">
        <v>315</v>
      </c>
      <c r="C136" t="s">
        <v>390</v>
      </c>
      <c r="D136" t="s">
        <v>389</v>
      </c>
      <c r="E136" t="s">
        <v>13</v>
      </c>
      <c r="F136">
        <v>27.144929999999999</v>
      </c>
      <c r="G136">
        <v>21.618189999999998</v>
      </c>
      <c r="H136">
        <v>25.432880000000001</v>
      </c>
      <c r="I136">
        <v>23.912420000000001</v>
      </c>
      <c r="J136">
        <v>24.951509999999999</v>
      </c>
      <c r="K136">
        <v>21.397670000000002</v>
      </c>
      <c r="L136">
        <v>20.300350000000002</v>
      </c>
      <c r="M136">
        <v>24.45073</v>
      </c>
      <c r="N136">
        <v>21.98047</v>
      </c>
      <c r="O136">
        <v>23.53199</v>
      </c>
      <c r="P136" t="s">
        <v>13</v>
      </c>
    </row>
    <row r="137" spans="1:16" x14ac:dyDescent="0.25">
      <c r="A137" t="s">
        <v>316</v>
      </c>
      <c r="B137" t="s">
        <v>315</v>
      </c>
      <c r="C137" t="s">
        <v>196</v>
      </c>
      <c r="D137" t="s">
        <v>197</v>
      </c>
      <c r="E137" t="s">
        <v>13</v>
      </c>
      <c r="F137">
        <v>28.60228</v>
      </c>
      <c r="G137">
        <v>17.533750000000001</v>
      </c>
      <c r="H137">
        <v>17.24109</v>
      </c>
      <c r="I137">
        <v>15.97996</v>
      </c>
      <c r="J137">
        <v>17.025210000000001</v>
      </c>
      <c r="K137">
        <v>16.753969999999999</v>
      </c>
      <c r="L137">
        <v>17.022020000000001</v>
      </c>
      <c r="M137">
        <v>17.685179999999999</v>
      </c>
      <c r="N137">
        <v>16.017379999999999</v>
      </c>
      <c r="O137">
        <v>14.39066</v>
      </c>
      <c r="P137">
        <v>10.95238</v>
      </c>
    </row>
    <row r="138" spans="1:16" x14ac:dyDescent="0.25">
      <c r="A138" t="s">
        <v>316</v>
      </c>
      <c r="B138" t="s">
        <v>315</v>
      </c>
      <c r="C138" t="s">
        <v>198</v>
      </c>
      <c r="D138" t="s">
        <v>199</v>
      </c>
      <c r="E138" t="s">
        <v>13</v>
      </c>
      <c r="F138">
        <v>18.50949</v>
      </c>
      <c r="G138">
        <v>14.99272</v>
      </c>
      <c r="H138">
        <v>19.812709999999999</v>
      </c>
      <c r="I138">
        <v>18.84009</v>
      </c>
      <c r="J138">
        <v>22.394279999999998</v>
      </c>
      <c r="K138">
        <v>19.359069999999999</v>
      </c>
      <c r="L138">
        <v>21.130659999999999</v>
      </c>
      <c r="M138">
        <v>21.717970000000001</v>
      </c>
      <c r="N138">
        <v>22.357559999999999</v>
      </c>
      <c r="O138">
        <v>20.472439999999999</v>
      </c>
      <c r="P138">
        <v>23.753419999999998</v>
      </c>
    </row>
    <row r="139" spans="1:16" hidden="1" x14ac:dyDescent="0.25">
      <c r="A139" t="s">
        <v>316</v>
      </c>
      <c r="B139" t="s">
        <v>315</v>
      </c>
      <c r="C139" t="s">
        <v>388</v>
      </c>
      <c r="D139" t="s">
        <v>387</v>
      </c>
      <c r="E139" t="s">
        <v>13</v>
      </c>
      <c r="F139" t="s">
        <v>13</v>
      </c>
      <c r="G139" t="s">
        <v>13</v>
      </c>
      <c r="H139" t="s">
        <v>13</v>
      </c>
      <c r="I139" t="s">
        <v>13</v>
      </c>
      <c r="J139" t="s">
        <v>13</v>
      </c>
      <c r="K139" t="s">
        <v>13</v>
      </c>
      <c r="L139" t="s">
        <v>13</v>
      </c>
      <c r="M139" t="s">
        <v>13</v>
      </c>
      <c r="N139" t="s">
        <v>13</v>
      </c>
      <c r="O139" t="s">
        <v>13</v>
      </c>
      <c r="P139" t="s">
        <v>13</v>
      </c>
    </row>
    <row r="140" spans="1:16" x14ac:dyDescent="0.25">
      <c r="A140" t="s">
        <v>316</v>
      </c>
      <c r="B140" t="s">
        <v>315</v>
      </c>
      <c r="C140" t="s">
        <v>200</v>
      </c>
      <c r="D140" t="s">
        <v>201</v>
      </c>
      <c r="E140" t="s">
        <v>13</v>
      </c>
      <c r="F140">
        <v>13.22522</v>
      </c>
      <c r="G140">
        <v>8.6294470000000008</v>
      </c>
      <c r="H140">
        <v>8.4585340000000002</v>
      </c>
      <c r="I140">
        <v>6.7076719999999996</v>
      </c>
      <c r="J140">
        <v>8.5969130000000007</v>
      </c>
      <c r="K140">
        <v>9.3960530000000002</v>
      </c>
      <c r="L140">
        <v>9.3100520000000007</v>
      </c>
      <c r="M140">
        <v>9.0974780000000006</v>
      </c>
      <c r="N140">
        <v>9.9614930000000008</v>
      </c>
      <c r="O140">
        <v>9.0403739999999999</v>
      </c>
      <c r="P140">
        <v>8.7229179999999999</v>
      </c>
    </row>
    <row r="141" spans="1:16" hidden="1" x14ac:dyDescent="0.25">
      <c r="A141" t="s">
        <v>316</v>
      </c>
      <c r="B141" t="s">
        <v>315</v>
      </c>
      <c r="C141" t="s">
        <v>386</v>
      </c>
      <c r="D141" t="s">
        <v>385</v>
      </c>
      <c r="E141" t="s">
        <v>13</v>
      </c>
      <c r="F141">
        <v>103.1545</v>
      </c>
      <c r="G141" t="s">
        <v>13</v>
      </c>
      <c r="H141" t="s">
        <v>13</v>
      </c>
      <c r="I141" t="s">
        <v>13</v>
      </c>
      <c r="J141" t="s">
        <v>13</v>
      </c>
      <c r="K141" t="s">
        <v>13</v>
      </c>
      <c r="L141" t="s">
        <v>13</v>
      </c>
      <c r="M141" t="s">
        <v>13</v>
      </c>
      <c r="N141" t="s">
        <v>13</v>
      </c>
      <c r="O141" t="s">
        <v>13</v>
      </c>
      <c r="P141" t="s">
        <v>13</v>
      </c>
    </row>
    <row r="142" spans="1:16" x14ac:dyDescent="0.25">
      <c r="A142" t="s">
        <v>316</v>
      </c>
      <c r="B142" t="s">
        <v>315</v>
      </c>
      <c r="C142" t="s">
        <v>202</v>
      </c>
      <c r="D142" t="s">
        <v>203</v>
      </c>
      <c r="E142" t="s">
        <v>13</v>
      </c>
      <c r="F142">
        <v>39.19791</v>
      </c>
      <c r="G142">
        <v>27.65587</v>
      </c>
      <c r="H142">
        <v>26.490390000000001</v>
      </c>
      <c r="I142">
        <v>29.428100000000001</v>
      </c>
      <c r="J142">
        <v>37.57253</v>
      </c>
      <c r="K142">
        <v>36.047730000000001</v>
      </c>
      <c r="L142">
        <v>37.575420000000001</v>
      </c>
      <c r="M142">
        <v>36.648989999999998</v>
      </c>
      <c r="N142">
        <v>34.443460000000002</v>
      </c>
      <c r="O142">
        <v>36.302390000000003</v>
      </c>
      <c r="P142">
        <v>36.25018</v>
      </c>
    </row>
    <row r="143" spans="1:16" x14ac:dyDescent="0.25">
      <c r="A143" t="s">
        <v>316</v>
      </c>
      <c r="B143" t="s">
        <v>315</v>
      </c>
      <c r="C143" t="s">
        <v>204</v>
      </c>
      <c r="D143" t="s">
        <v>205</v>
      </c>
      <c r="E143" t="s">
        <v>13</v>
      </c>
      <c r="F143" t="s">
        <v>13</v>
      </c>
      <c r="G143">
        <v>6.395607</v>
      </c>
      <c r="H143">
        <v>9.2515920000000005</v>
      </c>
      <c r="I143">
        <v>10.42877</v>
      </c>
      <c r="J143">
        <v>8.8159019999999995</v>
      </c>
      <c r="K143">
        <v>8.9391619999999996</v>
      </c>
      <c r="L143">
        <v>9.1506329999999991</v>
      </c>
      <c r="M143">
        <v>9.3016889999999997</v>
      </c>
      <c r="N143">
        <v>9.9700450000000007</v>
      </c>
      <c r="O143">
        <v>9.4197439999999997</v>
      </c>
      <c r="P143">
        <v>8.9276440000000008</v>
      </c>
    </row>
    <row r="144" spans="1:16" x14ac:dyDescent="0.25">
      <c r="A144" t="s">
        <v>316</v>
      </c>
      <c r="B144" t="s">
        <v>315</v>
      </c>
      <c r="C144" t="s">
        <v>206</v>
      </c>
      <c r="D144" t="s">
        <v>207</v>
      </c>
      <c r="E144" t="s">
        <v>13</v>
      </c>
      <c r="F144">
        <v>41.067689999999999</v>
      </c>
      <c r="G144">
        <v>40.085859999999997</v>
      </c>
      <c r="H144">
        <v>39.996220000000001</v>
      </c>
      <c r="I144">
        <v>42.386189999999999</v>
      </c>
      <c r="J144">
        <v>41.868459999999999</v>
      </c>
      <c r="K144">
        <v>43.338700000000003</v>
      </c>
      <c r="L144">
        <v>42.116199999999999</v>
      </c>
      <c r="M144">
        <v>41.845739999999999</v>
      </c>
      <c r="N144">
        <v>44.514209999999999</v>
      </c>
      <c r="O144">
        <v>41.718409999999999</v>
      </c>
      <c r="P144">
        <v>42.40052</v>
      </c>
    </row>
    <row r="145" spans="1:16" x14ac:dyDescent="0.25">
      <c r="A145" t="s">
        <v>316</v>
      </c>
      <c r="B145" t="s">
        <v>315</v>
      </c>
      <c r="C145" t="s">
        <v>208</v>
      </c>
      <c r="D145" t="s">
        <v>209</v>
      </c>
      <c r="E145" t="s">
        <v>13</v>
      </c>
      <c r="F145" t="s">
        <v>13</v>
      </c>
      <c r="G145">
        <v>5.6118690000000004</v>
      </c>
      <c r="H145">
        <v>5.233314</v>
      </c>
      <c r="I145">
        <v>5.4221380000000003</v>
      </c>
      <c r="J145">
        <v>5.3126980000000001</v>
      </c>
      <c r="K145">
        <v>5.3081209999999999</v>
      </c>
      <c r="L145">
        <v>7.1220420000000004</v>
      </c>
      <c r="M145">
        <v>6.7867240000000004</v>
      </c>
      <c r="N145">
        <v>6.9857480000000001</v>
      </c>
      <c r="O145">
        <v>5.9405570000000001</v>
      </c>
      <c r="P145">
        <v>7.0624719999999996</v>
      </c>
    </row>
    <row r="146" spans="1:16" x14ac:dyDescent="0.25">
      <c r="A146" t="s">
        <v>316</v>
      </c>
      <c r="B146" t="s">
        <v>315</v>
      </c>
      <c r="C146" t="s">
        <v>210</v>
      </c>
      <c r="D146" t="s">
        <v>211</v>
      </c>
      <c r="E146" t="s">
        <v>13</v>
      </c>
      <c r="F146" t="s">
        <v>13</v>
      </c>
      <c r="G146">
        <v>5.4231860000000003</v>
      </c>
      <c r="H146">
        <v>3.0980379999999998</v>
      </c>
      <c r="I146">
        <v>2.7759559999999999</v>
      </c>
      <c r="J146">
        <v>6.443028</v>
      </c>
      <c r="K146">
        <v>6.5350419999999998</v>
      </c>
      <c r="L146">
        <v>5.6451010000000004</v>
      </c>
      <c r="M146">
        <v>6.9717039999999999</v>
      </c>
      <c r="N146">
        <v>7.482056</v>
      </c>
      <c r="O146">
        <v>7.5927389999999999</v>
      </c>
      <c r="P146">
        <v>7.5942829999999999</v>
      </c>
    </row>
    <row r="147" spans="1:16" x14ac:dyDescent="0.25">
      <c r="A147" t="s">
        <v>316</v>
      </c>
      <c r="B147" t="s">
        <v>315</v>
      </c>
      <c r="C147" t="s">
        <v>212</v>
      </c>
      <c r="D147" t="s">
        <v>213</v>
      </c>
      <c r="E147" t="s">
        <v>13</v>
      </c>
      <c r="F147" t="s">
        <v>13</v>
      </c>
      <c r="G147">
        <v>25.263020000000001</v>
      </c>
      <c r="H147">
        <v>21.620470000000001</v>
      </c>
      <c r="I147">
        <v>21.855560000000001</v>
      </c>
      <c r="J147">
        <v>25.37547</v>
      </c>
      <c r="K147">
        <v>25.55405</v>
      </c>
      <c r="L147">
        <v>26.93535</v>
      </c>
      <c r="M147">
        <v>25.314440000000001</v>
      </c>
      <c r="N147">
        <v>24.373139999999999</v>
      </c>
      <c r="O147">
        <v>25.256180000000001</v>
      </c>
      <c r="P147">
        <v>23.721119999999999</v>
      </c>
    </row>
    <row r="148" spans="1:16" hidden="1" x14ac:dyDescent="0.25">
      <c r="A148" t="s">
        <v>316</v>
      </c>
      <c r="B148" t="s">
        <v>315</v>
      </c>
      <c r="C148" t="s">
        <v>384</v>
      </c>
      <c r="D148" t="s">
        <v>383</v>
      </c>
      <c r="E148" t="s">
        <v>13</v>
      </c>
      <c r="F148" t="s">
        <v>13</v>
      </c>
      <c r="G148" t="s">
        <v>13</v>
      </c>
      <c r="H148" t="s">
        <v>13</v>
      </c>
      <c r="I148" t="s">
        <v>13</v>
      </c>
      <c r="J148" t="s">
        <v>13</v>
      </c>
      <c r="K148" t="s">
        <v>13</v>
      </c>
      <c r="L148" t="s">
        <v>13</v>
      </c>
      <c r="M148" t="s">
        <v>13</v>
      </c>
      <c r="N148" t="s">
        <v>13</v>
      </c>
      <c r="O148" t="s">
        <v>13</v>
      </c>
      <c r="P148" t="s">
        <v>13</v>
      </c>
    </row>
    <row r="149" spans="1:16" x14ac:dyDescent="0.25">
      <c r="A149" t="s">
        <v>316</v>
      </c>
      <c r="B149" t="s">
        <v>315</v>
      </c>
      <c r="C149" t="s">
        <v>214</v>
      </c>
      <c r="D149" t="s">
        <v>215</v>
      </c>
      <c r="E149" t="s">
        <v>13</v>
      </c>
      <c r="F149">
        <v>20.442540000000001</v>
      </c>
      <c r="G149">
        <v>27.582940000000001</v>
      </c>
      <c r="H149">
        <v>25.409790000000001</v>
      </c>
      <c r="I149">
        <v>24.468409999999999</v>
      </c>
      <c r="J149">
        <v>26.588280000000001</v>
      </c>
      <c r="K149">
        <v>28.35333</v>
      </c>
      <c r="L149">
        <v>35.637700000000002</v>
      </c>
      <c r="M149">
        <v>35.74821</v>
      </c>
      <c r="N149">
        <v>33.884169999999997</v>
      </c>
      <c r="O149">
        <v>30.41902</v>
      </c>
      <c r="P149">
        <v>28.871130000000001</v>
      </c>
    </row>
    <row r="150" spans="1:16" x14ac:dyDescent="0.25">
      <c r="A150" t="s">
        <v>316</v>
      </c>
      <c r="B150" t="s">
        <v>315</v>
      </c>
      <c r="C150" t="s">
        <v>216</v>
      </c>
      <c r="D150" t="s">
        <v>217</v>
      </c>
      <c r="E150" t="s">
        <v>13</v>
      </c>
      <c r="F150">
        <v>17.249580000000002</v>
      </c>
      <c r="G150">
        <v>8.4125969999999999</v>
      </c>
      <c r="H150">
        <v>8.9429669999999994</v>
      </c>
      <c r="I150">
        <v>9.6423939999999995</v>
      </c>
      <c r="J150">
        <v>9.5110749999999999</v>
      </c>
      <c r="K150">
        <v>11.03037</v>
      </c>
      <c r="L150">
        <v>12.20702</v>
      </c>
      <c r="M150">
        <v>12.155480000000001</v>
      </c>
      <c r="N150">
        <v>13.05325</v>
      </c>
      <c r="O150">
        <v>12.50759</v>
      </c>
      <c r="P150">
        <v>13.042299999999999</v>
      </c>
    </row>
    <row r="151" spans="1:16" hidden="1" x14ac:dyDescent="0.25">
      <c r="A151" t="s">
        <v>316</v>
      </c>
      <c r="B151" t="s">
        <v>315</v>
      </c>
      <c r="C151" t="s">
        <v>382</v>
      </c>
      <c r="D151" t="s">
        <v>381</v>
      </c>
      <c r="E151" t="s">
        <v>13</v>
      </c>
      <c r="F151" t="s">
        <v>13</v>
      </c>
      <c r="G151" t="s">
        <v>13</v>
      </c>
      <c r="H151" t="s">
        <v>13</v>
      </c>
      <c r="I151" t="s">
        <v>13</v>
      </c>
      <c r="J151" t="s">
        <v>13</v>
      </c>
      <c r="K151" t="s">
        <v>13</v>
      </c>
      <c r="L151" t="s">
        <v>13</v>
      </c>
      <c r="M151" t="s">
        <v>13</v>
      </c>
      <c r="N151" t="s">
        <v>13</v>
      </c>
      <c r="O151" t="s">
        <v>13</v>
      </c>
      <c r="P151" t="s">
        <v>13</v>
      </c>
    </row>
    <row r="152" spans="1:16" x14ac:dyDescent="0.25">
      <c r="A152" t="s">
        <v>316</v>
      </c>
      <c r="B152" t="s">
        <v>315</v>
      </c>
      <c r="C152" t="s">
        <v>218</v>
      </c>
      <c r="D152" t="s">
        <v>219</v>
      </c>
      <c r="E152" t="s">
        <v>13</v>
      </c>
      <c r="F152" t="s">
        <v>13</v>
      </c>
      <c r="G152">
        <v>37.262560000000001</v>
      </c>
      <c r="H152">
        <v>41.525120000000001</v>
      </c>
      <c r="I152">
        <v>40.383850000000002</v>
      </c>
      <c r="J152">
        <v>42.187980000000003</v>
      </c>
      <c r="K152">
        <v>42.019779999999997</v>
      </c>
      <c r="L152">
        <v>43.059829999999998</v>
      </c>
      <c r="M152">
        <v>43.924280000000003</v>
      </c>
      <c r="N152">
        <v>43.031939999999999</v>
      </c>
      <c r="O152">
        <v>41.677570000000003</v>
      </c>
      <c r="P152">
        <v>44.78266</v>
      </c>
    </row>
    <row r="153" spans="1:16" x14ac:dyDescent="0.25">
      <c r="A153" t="s">
        <v>316</v>
      </c>
      <c r="B153" t="s">
        <v>315</v>
      </c>
      <c r="C153" t="s">
        <v>220</v>
      </c>
      <c r="D153" t="s">
        <v>221</v>
      </c>
      <c r="E153" t="s">
        <v>13</v>
      </c>
      <c r="F153">
        <v>13.110150000000001</v>
      </c>
      <c r="G153">
        <v>17.929659999999998</v>
      </c>
      <c r="H153">
        <v>18.28453</v>
      </c>
      <c r="I153">
        <v>18.501639999999998</v>
      </c>
      <c r="J153">
        <v>19.46932</v>
      </c>
      <c r="K153">
        <v>19.828189999999999</v>
      </c>
      <c r="L153">
        <v>20.629940000000001</v>
      </c>
      <c r="M153">
        <v>23.913119999999999</v>
      </c>
      <c r="N153">
        <v>25.548760000000001</v>
      </c>
      <c r="O153">
        <v>24.29852</v>
      </c>
      <c r="P153">
        <v>25.132639999999999</v>
      </c>
    </row>
    <row r="154" spans="1:16" hidden="1" x14ac:dyDescent="0.25">
      <c r="A154" t="s">
        <v>316</v>
      </c>
      <c r="B154" t="s">
        <v>315</v>
      </c>
      <c r="C154" t="s">
        <v>380</v>
      </c>
      <c r="D154" t="s">
        <v>379</v>
      </c>
      <c r="E154" t="s">
        <v>13</v>
      </c>
      <c r="F154">
        <v>12.217790000000001</v>
      </c>
      <c r="G154">
        <v>16.597899999999999</v>
      </c>
      <c r="H154">
        <v>16.615590000000001</v>
      </c>
      <c r="I154">
        <v>15.53562</v>
      </c>
      <c r="J154">
        <v>17.690809999999999</v>
      </c>
      <c r="K154">
        <v>11.95529</v>
      </c>
      <c r="L154">
        <v>14.265890000000001</v>
      </c>
      <c r="M154">
        <v>13.56817</v>
      </c>
      <c r="N154">
        <v>14.38157</v>
      </c>
      <c r="O154" t="s">
        <v>13</v>
      </c>
      <c r="P154" t="s">
        <v>13</v>
      </c>
    </row>
    <row r="155" spans="1:16" x14ac:dyDescent="0.25">
      <c r="A155" t="s">
        <v>316</v>
      </c>
      <c r="B155" t="s">
        <v>315</v>
      </c>
      <c r="C155" t="s">
        <v>222</v>
      </c>
      <c r="D155" t="s">
        <v>223</v>
      </c>
      <c r="E155" t="s">
        <v>13</v>
      </c>
      <c r="F155">
        <v>12.21564</v>
      </c>
      <c r="G155">
        <v>17.775659999999998</v>
      </c>
      <c r="H155">
        <v>16.28585</v>
      </c>
      <c r="I155">
        <v>16.441099999999999</v>
      </c>
      <c r="J155">
        <v>16.78471</v>
      </c>
      <c r="K155">
        <v>16.439229999999998</v>
      </c>
      <c r="L155">
        <v>18.367570000000001</v>
      </c>
      <c r="M155">
        <v>14.803129999999999</v>
      </c>
      <c r="N155">
        <v>15.377050000000001</v>
      </c>
      <c r="O155">
        <v>13.629569999999999</v>
      </c>
      <c r="P155">
        <v>12.19272</v>
      </c>
    </row>
    <row r="156" spans="1:16" x14ac:dyDescent="0.25">
      <c r="A156" t="s">
        <v>316</v>
      </c>
      <c r="B156" t="s">
        <v>315</v>
      </c>
      <c r="C156" t="s">
        <v>224</v>
      </c>
      <c r="D156" t="s">
        <v>225</v>
      </c>
      <c r="E156" t="s">
        <v>13</v>
      </c>
      <c r="F156">
        <v>15.34952</v>
      </c>
      <c r="G156">
        <v>9.6479499999999998</v>
      </c>
      <c r="H156">
        <v>9.9878129999999992</v>
      </c>
      <c r="I156">
        <v>9.8787500000000001</v>
      </c>
      <c r="J156">
        <v>10.205349999999999</v>
      </c>
      <c r="K156">
        <v>10.554690000000001</v>
      </c>
      <c r="L156">
        <v>11.05696</v>
      </c>
      <c r="M156">
        <v>11.10239</v>
      </c>
      <c r="N156">
        <v>11.19481</v>
      </c>
      <c r="O156">
        <v>11.279120000000001</v>
      </c>
      <c r="P156">
        <v>9.5202209999999994</v>
      </c>
    </row>
    <row r="157" spans="1:16" x14ac:dyDescent="0.25">
      <c r="A157" t="s">
        <v>316</v>
      </c>
      <c r="B157" t="s">
        <v>315</v>
      </c>
      <c r="C157" t="s">
        <v>226</v>
      </c>
      <c r="D157" t="s">
        <v>227</v>
      </c>
      <c r="E157" t="s">
        <v>13</v>
      </c>
      <c r="F157">
        <v>8.6116060000000001</v>
      </c>
      <c r="G157">
        <v>8.0356480000000001</v>
      </c>
      <c r="H157">
        <v>8.557817</v>
      </c>
      <c r="I157">
        <v>8.8731620000000007</v>
      </c>
      <c r="J157">
        <v>10.522220000000001</v>
      </c>
      <c r="K157">
        <v>11.297739999999999</v>
      </c>
      <c r="L157">
        <v>11.44286</v>
      </c>
      <c r="M157">
        <v>12.59829</v>
      </c>
      <c r="N157">
        <v>12.82647</v>
      </c>
      <c r="O157">
        <v>13.04555</v>
      </c>
      <c r="P157">
        <v>12.570399999999999</v>
      </c>
    </row>
    <row r="158" spans="1:16" x14ac:dyDescent="0.25">
      <c r="A158" t="s">
        <v>316</v>
      </c>
      <c r="B158" t="s">
        <v>315</v>
      </c>
      <c r="C158" t="s">
        <v>228</v>
      </c>
      <c r="D158" t="s">
        <v>229</v>
      </c>
      <c r="E158" t="s">
        <v>13</v>
      </c>
      <c r="F158">
        <v>15.67961</v>
      </c>
      <c r="G158">
        <v>15.299899999999999</v>
      </c>
      <c r="H158">
        <v>15.59619</v>
      </c>
      <c r="I158">
        <v>14.930490000000001</v>
      </c>
      <c r="J158">
        <v>16.71706</v>
      </c>
      <c r="K158">
        <v>17.84947</v>
      </c>
      <c r="L158">
        <v>19.41836</v>
      </c>
      <c r="M158">
        <v>19.600670000000001</v>
      </c>
      <c r="N158">
        <v>19.83832</v>
      </c>
      <c r="O158">
        <v>19.427530000000001</v>
      </c>
      <c r="P158">
        <v>19.641490000000001</v>
      </c>
    </row>
    <row r="159" spans="1:16" x14ac:dyDescent="0.25">
      <c r="A159" t="s">
        <v>316</v>
      </c>
      <c r="B159" t="s">
        <v>315</v>
      </c>
      <c r="C159" t="s">
        <v>230</v>
      </c>
      <c r="D159" t="s">
        <v>231</v>
      </c>
      <c r="E159" t="s">
        <v>13</v>
      </c>
      <c r="F159">
        <v>7.7411409999999998</v>
      </c>
      <c r="G159">
        <v>13.29162</v>
      </c>
      <c r="H159">
        <v>11.91086</v>
      </c>
      <c r="I159">
        <v>13.118119999999999</v>
      </c>
      <c r="J159">
        <v>12.276400000000001</v>
      </c>
      <c r="K159">
        <v>11.63105</v>
      </c>
      <c r="L159">
        <v>9.7217059999999993</v>
      </c>
      <c r="M159">
        <v>9.2515149999999995</v>
      </c>
      <c r="N159">
        <v>9.7049959999999995</v>
      </c>
      <c r="O159">
        <v>10.05904</v>
      </c>
      <c r="P159">
        <v>8.8545490000000004</v>
      </c>
    </row>
    <row r="160" spans="1:16" hidden="1" x14ac:dyDescent="0.25">
      <c r="A160" t="s">
        <v>316</v>
      </c>
      <c r="B160" t="s">
        <v>315</v>
      </c>
      <c r="C160" t="s">
        <v>378</v>
      </c>
      <c r="D160" t="s">
        <v>377</v>
      </c>
      <c r="E160" t="s">
        <v>13</v>
      </c>
      <c r="F160" t="s">
        <v>13</v>
      </c>
      <c r="G160" t="s">
        <v>13</v>
      </c>
      <c r="H160" t="s">
        <v>13</v>
      </c>
      <c r="I160" t="s">
        <v>13</v>
      </c>
      <c r="J160" t="s">
        <v>13</v>
      </c>
      <c r="K160" t="s">
        <v>13</v>
      </c>
      <c r="L160" t="s">
        <v>13</v>
      </c>
      <c r="M160" t="s">
        <v>13</v>
      </c>
      <c r="N160" t="s">
        <v>13</v>
      </c>
      <c r="O160" t="s">
        <v>13</v>
      </c>
      <c r="P160" t="s">
        <v>13</v>
      </c>
    </row>
    <row r="161" spans="1:16" x14ac:dyDescent="0.25">
      <c r="A161" t="s">
        <v>316</v>
      </c>
      <c r="B161" t="s">
        <v>315</v>
      </c>
      <c r="C161" t="s">
        <v>232</v>
      </c>
      <c r="D161" t="s">
        <v>233</v>
      </c>
      <c r="E161" t="s">
        <v>13</v>
      </c>
      <c r="F161">
        <v>35.92801</v>
      </c>
      <c r="G161">
        <v>31.793199999999999</v>
      </c>
      <c r="H161">
        <v>29.702729999999999</v>
      </c>
      <c r="I161">
        <v>31.206800000000001</v>
      </c>
      <c r="J161">
        <v>38.634540000000001</v>
      </c>
      <c r="K161">
        <v>38.68009</v>
      </c>
      <c r="L161">
        <v>40.268819999999998</v>
      </c>
      <c r="M161">
        <v>41.444569999999999</v>
      </c>
      <c r="N161">
        <v>43.102339999999998</v>
      </c>
      <c r="O161">
        <v>38.071779999999997</v>
      </c>
      <c r="P161">
        <v>40.393259999999998</v>
      </c>
    </row>
    <row r="162" spans="1:16" hidden="1" x14ac:dyDescent="0.25">
      <c r="A162" t="s">
        <v>316</v>
      </c>
      <c r="B162" t="s">
        <v>315</v>
      </c>
      <c r="C162" t="s">
        <v>376</v>
      </c>
      <c r="D162" t="s">
        <v>375</v>
      </c>
      <c r="E162" t="s">
        <v>13</v>
      </c>
      <c r="F162" t="s">
        <v>13</v>
      </c>
      <c r="G162">
        <v>13.47289</v>
      </c>
      <c r="H162" t="s">
        <v>13</v>
      </c>
      <c r="I162" t="s">
        <v>13</v>
      </c>
      <c r="J162" t="s">
        <v>13</v>
      </c>
      <c r="K162" t="s">
        <v>13</v>
      </c>
      <c r="L162" t="s">
        <v>13</v>
      </c>
      <c r="M162" t="s">
        <v>13</v>
      </c>
      <c r="N162" t="s">
        <v>13</v>
      </c>
      <c r="O162" t="s">
        <v>13</v>
      </c>
      <c r="P162" t="s">
        <v>13</v>
      </c>
    </row>
    <row r="163" spans="1:16" x14ac:dyDescent="0.25">
      <c r="A163" t="s">
        <v>316</v>
      </c>
      <c r="B163" t="s">
        <v>315</v>
      </c>
      <c r="C163" t="s">
        <v>234</v>
      </c>
      <c r="D163" t="s">
        <v>235</v>
      </c>
      <c r="E163" t="s">
        <v>13</v>
      </c>
      <c r="F163">
        <v>16.639849999999999</v>
      </c>
      <c r="G163">
        <v>16.696429999999999</v>
      </c>
      <c r="H163">
        <v>15.559659999999999</v>
      </c>
      <c r="I163">
        <v>15.529019999999999</v>
      </c>
      <c r="J163">
        <v>14.701269999999999</v>
      </c>
      <c r="K163">
        <v>15.563499999999999</v>
      </c>
      <c r="L163">
        <v>16.242339999999999</v>
      </c>
      <c r="M163">
        <v>16.14329</v>
      </c>
      <c r="N163">
        <v>16.933199999999999</v>
      </c>
      <c r="O163">
        <v>15.72386</v>
      </c>
      <c r="P163">
        <v>17.13345</v>
      </c>
    </row>
    <row r="164" spans="1:16" x14ac:dyDescent="0.25">
      <c r="A164" t="s">
        <v>316</v>
      </c>
      <c r="B164" t="s">
        <v>315</v>
      </c>
      <c r="C164" t="s">
        <v>236</v>
      </c>
      <c r="D164" t="s">
        <v>237</v>
      </c>
      <c r="E164" t="s">
        <v>13</v>
      </c>
      <c r="F164">
        <v>13.933160000000001</v>
      </c>
      <c r="G164">
        <v>16.88897</v>
      </c>
      <c r="H164">
        <v>16.1249</v>
      </c>
      <c r="I164">
        <v>16.436889999999998</v>
      </c>
      <c r="J164">
        <v>16.02168</v>
      </c>
      <c r="K164">
        <v>17.779910000000001</v>
      </c>
      <c r="L164">
        <v>18.69089</v>
      </c>
      <c r="M164">
        <v>19.550560000000001</v>
      </c>
      <c r="N164">
        <v>20.30264</v>
      </c>
      <c r="O164">
        <v>14.65761</v>
      </c>
      <c r="P164">
        <v>16.938970000000001</v>
      </c>
    </row>
    <row r="165" spans="1:16" x14ac:dyDescent="0.25">
      <c r="A165" t="s">
        <v>316</v>
      </c>
      <c r="B165" t="s">
        <v>315</v>
      </c>
      <c r="C165" t="s">
        <v>238</v>
      </c>
      <c r="D165" t="s">
        <v>239</v>
      </c>
      <c r="E165" t="s">
        <v>13</v>
      </c>
      <c r="F165">
        <v>29.459579999999999</v>
      </c>
      <c r="G165">
        <v>23.338850000000001</v>
      </c>
      <c r="H165">
        <v>19.762899999999998</v>
      </c>
      <c r="I165">
        <v>19.791329999999999</v>
      </c>
      <c r="J165">
        <v>20.695720000000001</v>
      </c>
      <c r="K165">
        <v>20.514610000000001</v>
      </c>
      <c r="L165">
        <v>21.114789999999999</v>
      </c>
      <c r="M165">
        <v>21.54946</v>
      </c>
      <c r="N165">
        <v>22.451450000000001</v>
      </c>
      <c r="O165">
        <v>22.169989999999999</v>
      </c>
      <c r="P165">
        <v>24.133410000000001</v>
      </c>
    </row>
    <row r="166" spans="1:16" x14ac:dyDescent="0.25">
      <c r="A166" t="s">
        <v>316</v>
      </c>
      <c r="B166" t="s">
        <v>315</v>
      </c>
      <c r="C166" t="s">
        <v>240</v>
      </c>
      <c r="D166" t="s">
        <v>241</v>
      </c>
      <c r="E166" t="s">
        <v>13</v>
      </c>
      <c r="F166">
        <v>8.5148220000000006</v>
      </c>
      <c r="G166">
        <v>10.08323</v>
      </c>
      <c r="H166">
        <v>9.6545830000000006</v>
      </c>
      <c r="I166">
        <v>9.9307350000000003</v>
      </c>
      <c r="J166">
        <v>9.7467500000000005</v>
      </c>
      <c r="K166">
        <v>9.633597</v>
      </c>
      <c r="L166">
        <v>10.03586</v>
      </c>
      <c r="M166">
        <v>9.3957560000000004</v>
      </c>
      <c r="N166">
        <v>9.3725670000000001</v>
      </c>
      <c r="O166">
        <v>8.1053449999999998</v>
      </c>
      <c r="P166">
        <v>7.0480280000000004</v>
      </c>
    </row>
    <row r="167" spans="1:16" x14ac:dyDescent="0.25">
      <c r="A167" t="s">
        <v>316</v>
      </c>
      <c r="B167" t="s">
        <v>315</v>
      </c>
      <c r="C167" t="s">
        <v>242</v>
      </c>
      <c r="D167" t="s">
        <v>243</v>
      </c>
      <c r="E167" t="s">
        <v>13</v>
      </c>
      <c r="F167">
        <v>9.1269100000000005</v>
      </c>
      <c r="G167">
        <v>10.346590000000001</v>
      </c>
      <c r="H167">
        <v>7.8959020000000004</v>
      </c>
      <c r="I167">
        <v>9.3277409999999996</v>
      </c>
      <c r="J167">
        <v>12.366770000000001</v>
      </c>
      <c r="K167">
        <v>10.70251</v>
      </c>
      <c r="L167">
        <v>16.44999</v>
      </c>
      <c r="M167">
        <v>16.890499999999999</v>
      </c>
      <c r="N167">
        <v>17.552499999999998</v>
      </c>
      <c r="O167">
        <v>15.55049</v>
      </c>
      <c r="P167">
        <v>16.092420000000001</v>
      </c>
    </row>
    <row r="168" spans="1:16" hidden="1" x14ac:dyDescent="0.25">
      <c r="A168" t="s">
        <v>316</v>
      </c>
      <c r="B168" t="s">
        <v>315</v>
      </c>
      <c r="C168" t="s">
        <v>374</v>
      </c>
      <c r="D168" t="s">
        <v>373</v>
      </c>
      <c r="E168" t="s">
        <v>13</v>
      </c>
      <c r="F168" t="s">
        <v>13</v>
      </c>
      <c r="G168" t="s">
        <v>13</v>
      </c>
      <c r="H168" t="s">
        <v>13</v>
      </c>
      <c r="I168" t="s">
        <v>13</v>
      </c>
      <c r="J168" t="s">
        <v>13</v>
      </c>
      <c r="K168" t="s">
        <v>13</v>
      </c>
      <c r="L168" t="s">
        <v>13</v>
      </c>
      <c r="M168" t="s">
        <v>13</v>
      </c>
      <c r="N168" t="s">
        <v>13</v>
      </c>
      <c r="O168" t="s">
        <v>13</v>
      </c>
      <c r="P168" t="s">
        <v>13</v>
      </c>
    </row>
    <row r="169" spans="1:16" x14ac:dyDescent="0.25">
      <c r="A169" t="s">
        <v>316</v>
      </c>
      <c r="B169" t="s">
        <v>315</v>
      </c>
      <c r="C169" t="s">
        <v>244</v>
      </c>
      <c r="D169" t="s">
        <v>245</v>
      </c>
      <c r="E169" t="s">
        <v>13</v>
      </c>
      <c r="F169">
        <v>23.889849999999999</v>
      </c>
      <c r="G169">
        <v>26.318529999999999</v>
      </c>
      <c r="H169">
        <v>24.51735</v>
      </c>
      <c r="I169">
        <v>23.916699999999999</v>
      </c>
      <c r="J169">
        <v>22.810169999999999</v>
      </c>
      <c r="K169">
        <v>20.255050000000001</v>
      </c>
      <c r="L169">
        <v>20.110389999999999</v>
      </c>
      <c r="M169">
        <v>20.28576</v>
      </c>
      <c r="N169">
        <v>19.903749999999999</v>
      </c>
      <c r="O169">
        <v>18.678439999999998</v>
      </c>
      <c r="P169">
        <v>18.45945</v>
      </c>
    </row>
    <row r="170" spans="1:16" x14ac:dyDescent="0.25">
      <c r="A170" t="s">
        <v>316</v>
      </c>
      <c r="B170" t="s">
        <v>315</v>
      </c>
      <c r="C170" t="s">
        <v>250</v>
      </c>
      <c r="D170" t="s">
        <v>251</v>
      </c>
      <c r="E170" t="s">
        <v>13</v>
      </c>
      <c r="F170">
        <v>18.0642</v>
      </c>
      <c r="G170">
        <v>8.4852249999999998</v>
      </c>
      <c r="H170">
        <v>9.3230710000000006</v>
      </c>
      <c r="I170">
        <v>7.7867540000000002</v>
      </c>
      <c r="J170">
        <v>10.88855</v>
      </c>
      <c r="K170">
        <v>10.84487</v>
      </c>
      <c r="L170">
        <v>11.23704</v>
      </c>
      <c r="M170">
        <v>11.30402</v>
      </c>
      <c r="N170">
        <v>11.066700000000001</v>
      </c>
      <c r="O170">
        <v>10.99972</v>
      </c>
      <c r="P170">
        <v>10.34337</v>
      </c>
    </row>
    <row r="171" spans="1:16" x14ac:dyDescent="0.25">
      <c r="A171" t="s">
        <v>316</v>
      </c>
      <c r="B171" t="s">
        <v>315</v>
      </c>
      <c r="C171" t="s">
        <v>246</v>
      </c>
      <c r="D171" t="s">
        <v>247</v>
      </c>
      <c r="E171" t="s">
        <v>13</v>
      </c>
      <c r="F171">
        <v>12.82193</v>
      </c>
      <c r="G171">
        <v>6.7655500000000002</v>
      </c>
      <c r="H171">
        <v>6.8074060000000003</v>
      </c>
      <c r="I171">
        <v>6.3179360000000004</v>
      </c>
      <c r="J171">
        <v>5.4000709999999996</v>
      </c>
      <c r="K171">
        <v>6.6696280000000003</v>
      </c>
      <c r="L171">
        <v>7.3793309999999996</v>
      </c>
      <c r="M171">
        <v>7.1772859999999996</v>
      </c>
      <c r="N171">
        <v>7.6736230000000001</v>
      </c>
      <c r="O171">
        <v>6.8991680000000004</v>
      </c>
      <c r="P171">
        <v>6.8660059999999996</v>
      </c>
    </row>
    <row r="172" spans="1:16" x14ac:dyDescent="0.25">
      <c r="A172" t="s">
        <v>316</v>
      </c>
      <c r="B172" t="s">
        <v>315</v>
      </c>
      <c r="C172" t="s">
        <v>248</v>
      </c>
      <c r="D172" t="s">
        <v>249</v>
      </c>
      <c r="E172" t="s">
        <v>13</v>
      </c>
      <c r="F172" t="s">
        <v>13</v>
      </c>
      <c r="G172">
        <v>22.819949999999999</v>
      </c>
      <c r="H172">
        <v>17.653310000000001</v>
      </c>
      <c r="I172">
        <v>18.74671</v>
      </c>
      <c r="J172">
        <v>20.391690000000001</v>
      </c>
      <c r="K172">
        <v>20.225059999999999</v>
      </c>
      <c r="L172">
        <v>18.426639999999999</v>
      </c>
      <c r="M172">
        <v>22.246749999999999</v>
      </c>
      <c r="N172">
        <v>23.553239999999999</v>
      </c>
      <c r="O172">
        <v>21.758669999999999</v>
      </c>
      <c r="P172">
        <v>21.42436</v>
      </c>
    </row>
    <row r="173" spans="1:16" hidden="1" x14ac:dyDescent="0.25">
      <c r="A173" t="s">
        <v>316</v>
      </c>
      <c r="B173" t="s">
        <v>315</v>
      </c>
      <c r="C173" t="s">
        <v>372</v>
      </c>
      <c r="D173" t="s">
        <v>371</v>
      </c>
      <c r="E173" t="s">
        <v>13</v>
      </c>
      <c r="F173" t="s">
        <v>13</v>
      </c>
      <c r="G173" t="s">
        <v>13</v>
      </c>
      <c r="H173" t="s">
        <v>13</v>
      </c>
      <c r="I173" t="s">
        <v>13</v>
      </c>
      <c r="J173" t="s">
        <v>13</v>
      </c>
      <c r="K173" t="s">
        <v>13</v>
      </c>
      <c r="L173" t="s">
        <v>13</v>
      </c>
      <c r="M173" t="s">
        <v>13</v>
      </c>
      <c r="N173" t="s">
        <v>13</v>
      </c>
      <c r="O173" t="s">
        <v>13</v>
      </c>
      <c r="P173" t="s">
        <v>13</v>
      </c>
    </row>
    <row r="174" spans="1:16" hidden="1" x14ac:dyDescent="0.25">
      <c r="A174" t="s">
        <v>316</v>
      </c>
      <c r="B174" t="s">
        <v>315</v>
      </c>
      <c r="C174" t="s">
        <v>370</v>
      </c>
      <c r="D174" t="s">
        <v>369</v>
      </c>
      <c r="E174" t="s">
        <v>13</v>
      </c>
      <c r="F174" t="s">
        <v>13</v>
      </c>
      <c r="G174">
        <v>8.6351669999999991</v>
      </c>
      <c r="H174">
        <v>8.5040870000000002</v>
      </c>
      <c r="I174" t="s">
        <v>13</v>
      </c>
      <c r="J174">
        <v>9.4901859999999996</v>
      </c>
      <c r="K174">
        <v>9.7152860000000008</v>
      </c>
      <c r="L174">
        <v>11.202809999999999</v>
      </c>
      <c r="M174" t="s">
        <v>13</v>
      </c>
      <c r="N174" t="s">
        <v>13</v>
      </c>
      <c r="O174" t="s">
        <v>13</v>
      </c>
      <c r="P174" t="s">
        <v>13</v>
      </c>
    </row>
    <row r="175" spans="1:16" hidden="1" x14ac:dyDescent="0.25">
      <c r="A175" t="s">
        <v>316</v>
      </c>
      <c r="B175" t="s">
        <v>315</v>
      </c>
      <c r="C175" t="s">
        <v>368</v>
      </c>
      <c r="D175" t="s">
        <v>367</v>
      </c>
      <c r="E175" t="s">
        <v>13</v>
      </c>
      <c r="F175" t="s">
        <v>13</v>
      </c>
      <c r="G175" t="s">
        <v>13</v>
      </c>
      <c r="H175" t="s">
        <v>13</v>
      </c>
      <c r="I175" t="s">
        <v>13</v>
      </c>
      <c r="J175" t="s">
        <v>13</v>
      </c>
      <c r="K175" t="s">
        <v>13</v>
      </c>
      <c r="L175" t="s">
        <v>13</v>
      </c>
      <c r="M175" t="s">
        <v>13</v>
      </c>
      <c r="N175" t="s">
        <v>13</v>
      </c>
      <c r="O175" t="s">
        <v>13</v>
      </c>
      <c r="P175" t="s">
        <v>13</v>
      </c>
    </row>
    <row r="176" spans="1:16" x14ac:dyDescent="0.25">
      <c r="A176" t="s">
        <v>316</v>
      </c>
      <c r="B176" t="s">
        <v>315</v>
      </c>
      <c r="C176" t="s">
        <v>252</v>
      </c>
      <c r="D176" t="s">
        <v>253</v>
      </c>
      <c r="E176" t="s">
        <v>13</v>
      </c>
      <c r="F176">
        <v>14.781219999999999</v>
      </c>
      <c r="G176">
        <v>20.281420000000001</v>
      </c>
      <c r="H176">
        <v>20.130490000000002</v>
      </c>
      <c r="I176">
        <v>20.108789999999999</v>
      </c>
      <c r="J176">
        <v>20.9861</v>
      </c>
      <c r="K176">
        <v>21.9313</v>
      </c>
      <c r="L176">
        <v>23.459009999999999</v>
      </c>
      <c r="M176">
        <v>22.69943</v>
      </c>
      <c r="N176">
        <v>23.47289</v>
      </c>
      <c r="O176">
        <v>21.82094</v>
      </c>
      <c r="P176">
        <v>24.370539999999998</v>
      </c>
    </row>
    <row r="177" spans="1:16" hidden="1" x14ac:dyDescent="0.25">
      <c r="A177" t="s">
        <v>316</v>
      </c>
      <c r="B177" t="s">
        <v>315</v>
      </c>
      <c r="C177" t="s">
        <v>366</v>
      </c>
      <c r="D177" t="s">
        <v>365</v>
      </c>
      <c r="E177" t="s">
        <v>13</v>
      </c>
      <c r="F177">
        <v>14.394489999999999</v>
      </c>
      <c r="G177">
        <v>15.82616</v>
      </c>
      <c r="H177">
        <v>16.224820000000001</v>
      </c>
      <c r="I177">
        <v>11.45501</v>
      </c>
      <c r="J177">
        <v>12.985580000000001</v>
      </c>
      <c r="K177">
        <v>13.84004</v>
      </c>
      <c r="L177">
        <v>14.24647</v>
      </c>
      <c r="M177">
        <v>14.173249999999999</v>
      </c>
      <c r="N177">
        <v>15.729050000000001</v>
      </c>
      <c r="O177">
        <v>15.870329999999999</v>
      </c>
      <c r="P177" t="s">
        <v>13</v>
      </c>
    </row>
    <row r="178" spans="1:16" x14ac:dyDescent="0.25">
      <c r="A178" t="s">
        <v>316</v>
      </c>
      <c r="B178" t="s">
        <v>315</v>
      </c>
      <c r="C178" t="s">
        <v>254</v>
      </c>
      <c r="D178" t="s">
        <v>255</v>
      </c>
      <c r="E178" t="s">
        <v>13</v>
      </c>
      <c r="F178">
        <v>10.7852</v>
      </c>
      <c r="G178">
        <v>13.56259</v>
      </c>
      <c r="H178">
        <v>13.250220000000001</v>
      </c>
      <c r="I178">
        <v>13.180960000000001</v>
      </c>
      <c r="J178">
        <v>14.26519</v>
      </c>
      <c r="K178">
        <v>13.32902</v>
      </c>
      <c r="L178">
        <v>14.357469999999999</v>
      </c>
      <c r="M178">
        <v>13.33905</v>
      </c>
      <c r="N178">
        <v>12.55498</v>
      </c>
      <c r="O178">
        <v>11.067349999999999</v>
      </c>
      <c r="P178">
        <v>10.3452</v>
      </c>
    </row>
    <row r="179" spans="1:16" hidden="1" x14ac:dyDescent="0.25">
      <c r="A179" t="s">
        <v>316</v>
      </c>
      <c r="B179" t="s">
        <v>315</v>
      </c>
      <c r="C179" t="s">
        <v>364</v>
      </c>
      <c r="D179" t="s">
        <v>363</v>
      </c>
      <c r="E179" t="s">
        <v>13</v>
      </c>
      <c r="F179" t="s">
        <v>13</v>
      </c>
      <c r="G179">
        <v>16.376049999999999</v>
      </c>
      <c r="H179">
        <v>13.626480000000001</v>
      </c>
      <c r="I179" t="s">
        <v>13</v>
      </c>
      <c r="J179">
        <v>16.140879999999999</v>
      </c>
      <c r="K179">
        <v>15.668810000000001</v>
      </c>
      <c r="L179">
        <v>15.039389999999999</v>
      </c>
      <c r="M179">
        <v>14.33822</v>
      </c>
      <c r="N179">
        <v>13.49258</v>
      </c>
      <c r="O179">
        <v>10.413360000000001</v>
      </c>
      <c r="P179" t="s">
        <v>13</v>
      </c>
    </row>
    <row r="180" spans="1:16" hidden="1" x14ac:dyDescent="0.25">
      <c r="A180" t="s">
        <v>316</v>
      </c>
      <c r="B180" t="s">
        <v>315</v>
      </c>
      <c r="C180" t="s">
        <v>362</v>
      </c>
      <c r="D180" t="s">
        <v>361</v>
      </c>
      <c r="E180" t="s">
        <v>13</v>
      </c>
      <c r="F180">
        <v>9.5660150000000002</v>
      </c>
      <c r="G180">
        <v>5.187551</v>
      </c>
      <c r="H180">
        <v>2.7946390000000001</v>
      </c>
      <c r="I180">
        <v>4.2962550000000004</v>
      </c>
      <c r="J180">
        <v>3.9576310000000001</v>
      </c>
      <c r="K180">
        <v>2.7305220000000001</v>
      </c>
      <c r="L180">
        <v>4.3447360000000002</v>
      </c>
      <c r="M180">
        <v>4.7989110000000004</v>
      </c>
      <c r="N180">
        <v>6.3420230000000002</v>
      </c>
      <c r="O180" t="s">
        <v>13</v>
      </c>
      <c r="P180" t="s">
        <v>13</v>
      </c>
    </row>
    <row r="181" spans="1:16" x14ac:dyDescent="0.25">
      <c r="A181" t="s">
        <v>316</v>
      </c>
      <c r="B181" t="s">
        <v>315</v>
      </c>
      <c r="C181" t="s">
        <v>256</v>
      </c>
      <c r="D181" t="s">
        <v>257</v>
      </c>
      <c r="E181" t="s">
        <v>13</v>
      </c>
      <c r="F181">
        <v>33.077649999999998</v>
      </c>
      <c r="G181">
        <v>35.281230000000001</v>
      </c>
      <c r="H181">
        <v>29.917760000000001</v>
      </c>
      <c r="I181">
        <v>30.30799</v>
      </c>
      <c r="J181">
        <v>31.096689999999999</v>
      </c>
      <c r="K181">
        <v>31.479790000000001</v>
      </c>
      <c r="L181">
        <v>30.398879999999998</v>
      </c>
      <c r="M181">
        <v>30.091480000000001</v>
      </c>
      <c r="N181">
        <v>30.40521</v>
      </c>
      <c r="O181">
        <v>28.149319999999999</v>
      </c>
      <c r="P181">
        <v>28.628150000000002</v>
      </c>
    </row>
    <row r="182" spans="1:16" hidden="1" x14ac:dyDescent="0.25">
      <c r="A182" t="s">
        <v>316</v>
      </c>
      <c r="B182" t="s">
        <v>315</v>
      </c>
      <c r="C182" t="s">
        <v>360</v>
      </c>
      <c r="D182" t="s">
        <v>359</v>
      </c>
      <c r="E182" t="s">
        <v>13</v>
      </c>
      <c r="F182" t="s">
        <v>13</v>
      </c>
      <c r="G182" t="s">
        <v>13</v>
      </c>
      <c r="H182" t="s">
        <v>13</v>
      </c>
      <c r="I182" t="s">
        <v>13</v>
      </c>
      <c r="J182" t="s">
        <v>13</v>
      </c>
      <c r="K182" t="s">
        <v>13</v>
      </c>
      <c r="L182" t="s">
        <v>13</v>
      </c>
      <c r="M182" t="s">
        <v>13</v>
      </c>
      <c r="N182" t="s">
        <v>13</v>
      </c>
      <c r="O182" t="s">
        <v>13</v>
      </c>
      <c r="P182" t="s">
        <v>13</v>
      </c>
    </row>
    <row r="183" spans="1:16" x14ac:dyDescent="0.25">
      <c r="A183" t="s">
        <v>316</v>
      </c>
      <c r="B183" t="s">
        <v>315</v>
      </c>
      <c r="C183" t="s">
        <v>258</v>
      </c>
      <c r="D183" t="s">
        <v>259</v>
      </c>
      <c r="E183" t="s">
        <v>13</v>
      </c>
      <c r="F183">
        <v>22.125039999999998</v>
      </c>
      <c r="G183">
        <v>26.04955</v>
      </c>
      <c r="H183">
        <v>25.41874</v>
      </c>
      <c r="I183">
        <v>25.379359999999998</v>
      </c>
      <c r="J183">
        <v>25.17801</v>
      </c>
      <c r="K183">
        <v>24.573730000000001</v>
      </c>
      <c r="L183">
        <v>23.393090000000001</v>
      </c>
      <c r="M183">
        <v>22.454719999999998</v>
      </c>
      <c r="N183">
        <v>21.826370000000001</v>
      </c>
      <c r="O183">
        <v>21.191420000000001</v>
      </c>
      <c r="P183">
        <v>18.925660000000001</v>
      </c>
    </row>
    <row r="184" spans="1:16" x14ac:dyDescent="0.25">
      <c r="A184" t="s">
        <v>316</v>
      </c>
      <c r="B184" t="s">
        <v>315</v>
      </c>
      <c r="C184" t="s">
        <v>260</v>
      </c>
      <c r="D184" t="s">
        <v>261</v>
      </c>
      <c r="E184" t="s">
        <v>13</v>
      </c>
      <c r="F184">
        <v>3.912941</v>
      </c>
      <c r="G184">
        <v>2.4050310000000001</v>
      </c>
      <c r="H184">
        <v>-0.32597389999999998</v>
      </c>
      <c r="I184">
        <v>4.5223139999999997</v>
      </c>
      <c r="J184">
        <v>5.0310459999999999</v>
      </c>
      <c r="K184">
        <v>5.4024599999999996</v>
      </c>
      <c r="L184">
        <v>5.5101279999999999</v>
      </c>
      <c r="M184">
        <v>5.3711479999999998</v>
      </c>
      <c r="N184">
        <v>5.1148870000000004</v>
      </c>
      <c r="O184">
        <v>4.7111340000000004</v>
      </c>
      <c r="P184">
        <v>4.4850820000000002</v>
      </c>
    </row>
    <row r="185" spans="1:16" hidden="1" x14ac:dyDescent="0.25">
      <c r="A185" t="s">
        <v>316</v>
      </c>
      <c r="B185" t="s">
        <v>315</v>
      </c>
      <c r="C185" t="s">
        <v>358</v>
      </c>
      <c r="D185" t="s">
        <v>357</v>
      </c>
      <c r="E185" t="s">
        <v>13</v>
      </c>
      <c r="F185" t="s">
        <v>13</v>
      </c>
      <c r="G185" t="s">
        <v>13</v>
      </c>
      <c r="H185" t="s">
        <v>13</v>
      </c>
      <c r="I185" t="s">
        <v>13</v>
      </c>
      <c r="J185" t="s">
        <v>13</v>
      </c>
      <c r="K185" t="s">
        <v>13</v>
      </c>
      <c r="L185" t="s">
        <v>13</v>
      </c>
      <c r="M185" t="s">
        <v>13</v>
      </c>
      <c r="N185" t="s">
        <v>13</v>
      </c>
      <c r="O185" t="s">
        <v>13</v>
      </c>
      <c r="P185" t="s">
        <v>13</v>
      </c>
    </row>
    <row r="186" spans="1:16" hidden="1" x14ac:dyDescent="0.25">
      <c r="A186" t="s">
        <v>316</v>
      </c>
      <c r="B186" t="s">
        <v>315</v>
      </c>
      <c r="C186" t="s">
        <v>356</v>
      </c>
      <c r="D186" t="s">
        <v>355</v>
      </c>
      <c r="E186" t="s">
        <v>13</v>
      </c>
      <c r="F186" t="s">
        <v>13</v>
      </c>
      <c r="G186" t="s">
        <v>13</v>
      </c>
      <c r="H186" t="s">
        <v>13</v>
      </c>
      <c r="I186" t="s">
        <v>13</v>
      </c>
      <c r="J186" t="s">
        <v>13</v>
      </c>
      <c r="K186" t="s">
        <v>13</v>
      </c>
      <c r="L186" t="s">
        <v>13</v>
      </c>
      <c r="M186" t="s">
        <v>13</v>
      </c>
      <c r="N186" t="s">
        <v>13</v>
      </c>
      <c r="O186" t="s">
        <v>13</v>
      </c>
      <c r="P186" t="s">
        <v>13</v>
      </c>
    </row>
    <row r="187" spans="1:16" x14ac:dyDescent="0.25">
      <c r="A187" t="s">
        <v>316</v>
      </c>
      <c r="B187" t="s">
        <v>315</v>
      </c>
      <c r="C187" t="s">
        <v>262</v>
      </c>
      <c r="D187" t="s">
        <v>263</v>
      </c>
      <c r="E187" t="s">
        <v>13</v>
      </c>
      <c r="F187">
        <v>22.893799999999999</v>
      </c>
      <c r="G187">
        <v>15.86341</v>
      </c>
      <c r="H187">
        <v>14.81967</v>
      </c>
      <c r="I187">
        <v>14.72688</v>
      </c>
      <c r="J187">
        <v>14.85629</v>
      </c>
      <c r="K187">
        <v>16.066479999999999</v>
      </c>
      <c r="L187">
        <v>17.255030000000001</v>
      </c>
      <c r="M187">
        <v>15.94073</v>
      </c>
      <c r="N187">
        <v>15.877280000000001</v>
      </c>
      <c r="O187">
        <v>13.426729999999999</v>
      </c>
      <c r="P187">
        <v>15.462059999999999</v>
      </c>
    </row>
    <row r="188" spans="1:16" hidden="1" x14ac:dyDescent="0.25">
      <c r="A188" t="s">
        <v>316</v>
      </c>
      <c r="B188" t="s">
        <v>315</v>
      </c>
      <c r="C188" t="s">
        <v>354</v>
      </c>
      <c r="D188" t="s">
        <v>353</v>
      </c>
      <c r="E188" t="s">
        <v>13</v>
      </c>
      <c r="F188" t="s">
        <v>13</v>
      </c>
      <c r="G188">
        <v>3.6729430000000001</v>
      </c>
      <c r="H188">
        <v>4.1302849999999998</v>
      </c>
      <c r="I188" t="s">
        <v>13</v>
      </c>
      <c r="J188" t="s">
        <v>13</v>
      </c>
      <c r="K188" t="s">
        <v>13</v>
      </c>
      <c r="L188">
        <v>4.2890389999999998</v>
      </c>
      <c r="M188">
        <v>6.8465889999999998</v>
      </c>
      <c r="N188">
        <v>8.1042090000000009</v>
      </c>
      <c r="O188" t="s">
        <v>13</v>
      </c>
      <c r="P188" t="s">
        <v>13</v>
      </c>
    </row>
    <row r="189" spans="1:16" x14ac:dyDescent="0.25">
      <c r="A189" t="s">
        <v>316</v>
      </c>
      <c r="B189" t="s">
        <v>315</v>
      </c>
      <c r="C189" t="s">
        <v>264</v>
      </c>
      <c r="D189" t="s">
        <v>265</v>
      </c>
      <c r="E189" t="s">
        <v>13</v>
      </c>
      <c r="F189">
        <v>19.120080000000002</v>
      </c>
      <c r="G189">
        <v>13.64231</v>
      </c>
      <c r="H189">
        <v>17.318650000000002</v>
      </c>
      <c r="I189">
        <v>18.745629999999998</v>
      </c>
      <c r="J189">
        <v>20.029789999999998</v>
      </c>
      <c r="K189">
        <v>20.354520000000001</v>
      </c>
      <c r="L189">
        <v>19.42108</v>
      </c>
      <c r="M189">
        <v>20.27938</v>
      </c>
      <c r="N189">
        <v>20.441790000000001</v>
      </c>
      <c r="O189">
        <v>16.41497</v>
      </c>
      <c r="P189">
        <v>16.915579999999999</v>
      </c>
    </row>
    <row r="190" spans="1:16" x14ac:dyDescent="0.25">
      <c r="A190" t="s">
        <v>316</v>
      </c>
      <c r="B190" t="s">
        <v>315</v>
      </c>
      <c r="C190" t="s">
        <v>266</v>
      </c>
      <c r="D190" t="s">
        <v>267</v>
      </c>
      <c r="E190" t="s">
        <v>13</v>
      </c>
      <c r="F190" t="s">
        <v>13</v>
      </c>
      <c r="G190">
        <v>36.142800000000001</v>
      </c>
      <c r="H190">
        <v>36.002879999999998</v>
      </c>
      <c r="I190">
        <v>36.22636</v>
      </c>
      <c r="J190">
        <v>35.510809999999999</v>
      </c>
      <c r="K190">
        <v>36.231380000000001</v>
      </c>
      <c r="L190">
        <v>38.628100000000003</v>
      </c>
      <c r="M190">
        <v>35.956760000000003</v>
      </c>
      <c r="N190">
        <v>37.867109999999997</v>
      </c>
      <c r="O190">
        <v>34.327759999999998</v>
      </c>
      <c r="P190">
        <v>35.086179999999999</v>
      </c>
    </row>
    <row r="191" spans="1:16" hidden="1" x14ac:dyDescent="0.25">
      <c r="A191" t="s">
        <v>316</v>
      </c>
      <c r="B191" t="s">
        <v>315</v>
      </c>
      <c r="C191" t="s">
        <v>352</v>
      </c>
      <c r="D191" t="s">
        <v>351</v>
      </c>
      <c r="E191" t="s">
        <v>13</v>
      </c>
      <c r="F191" t="s">
        <v>13</v>
      </c>
      <c r="G191" t="s">
        <v>13</v>
      </c>
      <c r="H191" t="s">
        <v>13</v>
      </c>
      <c r="I191" t="s">
        <v>13</v>
      </c>
      <c r="J191" t="s">
        <v>13</v>
      </c>
      <c r="K191" t="s">
        <v>13</v>
      </c>
      <c r="L191" t="s">
        <v>13</v>
      </c>
      <c r="M191" t="s">
        <v>13</v>
      </c>
      <c r="N191" t="s">
        <v>13</v>
      </c>
      <c r="O191" t="s">
        <v>13</v>
      </c>
      <c r="P191" t="s">
        <v>13</v>
      </c>
    </row>
    <row r="192" spans="1:16" hidden="1" x14ac:dyDescent="0.25">
      <c r="A192" t="s">
        <v>316</v>
      </c>
      <c r="B192" t="s">
        <v>315</v>
      </c>
      <c r="C192" t="s">
        <v>350</v>
      </c>
      <c r="D192" t="s">
        <v>349</v>
      </c>
      <c r="E192" t="s">
        <v>13</v>
      </c>
      <c r="F192" t="s">
        <v>13</v>
      </c>
      <c r="G192">
        <v>2.21522</v>
      </c>
      <c r="H192">
        <v>3.3414920000000001</v>
      </c>
      <c r="I192" t="s">
        <v>13</v>
      </c>
      <c r="J192" t="s">
        <v>13</v>
      </c>
      <c r="K192">
        <v>-1.7493399999999999E-2</v>
      </c>
      <c r="L192">
        <v>3.8370769999999998</v>
      </c>
      <c r="M192">
        <v>4.902126</v>
      </c>
      <c r="N192" t="s">
        <v>13</v>
      </c>
      <c r="O192" t="s">
        <v>13</v>
      </c>
      <c r="P192" t="s">
        <v>13</v>
      </c>
    </row>
    <row r="193" spans="1:16" hidden="1" x14ac:dyDescent="0.25">
      <c r="A193" t="s">
        <v>316</v>
      </c>
      <c r="B193" t="s">
        <v>315</v>
      </c>
      <c r="C193" t="s">
        <v>348</v>
      </c>
      <c r="D193" t="s">
        <v>347</v>
      </c>
      <c r="E193" t="s">
        <v>13</v>
      </c>
      <c r="F193" t="s">
        <v>13</v>
      </c>
      <c r="G193" t="s">
        <v>13</v>
      </c>
      <c r="H193" t="s">
        <v>13</v>
      </c>
      <c r="I193" t="s">
        <v>13</v>
      </c>
      <c r="J193" t="s">
        <v>13</v>
      </c>
      <c r="K193" t="s">
        <v>13</v>
      </c>
      <c r="L193" t="s">
        <v>13</v>
      </c>
      <c r="M193" t="s">
        <v>13</v>
      </c>
      <c r="N193" t="s">
        <v>13</v>
      </c>
      <c r="O193" t="s">
        <v>13</v>
      </c>
      <c r="P193" t="s">
        <v>13</v>
      </c>
    </row>
    <row r="194" spans="1:16" hidden="1" x14ac:dyDescent="0.25">
      <c r="A194" t="s">
        <v>316</v>
      </c>
      <c r="B194" t="s">
        <v>315</v>
      </c>
      <c r="C194" t="s">
        <v>346</v>
      </c>
      <c r="D194" t="s">
        <v>345</v>
      </c>
      <c r="E194" t="s">
        <v>13</v>
      </c>
      <c r="F194">
        <v>10.18421</v>
      </c>
      <c r="G194">
        <v>27.592300000000002</v>
      </c>
      <c r="H194" t="s">
        <v>13</v>
      </c>
      <c r="I194" t="s">
        <v>13</v>
      </c>
      <c r="J194" t="s">
        <v>13</v>
      </c>
      <c r="K194" t="s">
        <v>13</v>
      </c>
      <c r="L194" t="s">
        <v>13</v>
      </c>
      <c r="M194" t="s">
        <v>13</v>
      </c>
      <c r="N194" t="s">
        <v>13</v>
      </c>
      <c r="O194" t="s">
        <v>13</v>
      </c>
      <c r="P194" t="s">
        <v>13</v>
      </c>
    </row>
    <row r="195" spans="1:16" hidden="1" x14ac:dyDescent="0.25">
      <c r="A195" t="s">
        <v>316</v>
      </c>
      <c r="B195" t="s">
        <v>315</v>
      </c>
      <c r="C195" t="s">
        <v>344</v>
      </c>
      <c r="D195" t="s">
        <v>343</v>
      </c>
      <c r="E195" t="s">
        <v>13</v>
      </c>
      <c r="F195" t="s">
        <v>13</v>
      </c>
      <c r="G195">
        <v>10.732799999999999</v>
      </c>
      <c r="H195">
        <v>10.902469999999999</v>
      </c>
      <c r="I195">
        <v>11.822710000000001</v>
      </c>
      <c r="J195">
        <v>11.31005</v>
      </c>
      <c r="K195">
        <v>4.5168239999999997</v>
      </c>
      <c r="L195">
        <v>6.5754260000000002</v>
      </c>
      <c r="M195">
        <v>6.9828729999999997</v>
      </c>
      <c r="N195">
        <v>8.6645050000000001</v>
      </c>
      <c r="O195" t="s">
        <v>13</v>
      </c>
      <c r="P195" t="s">
        <v>13</v>
      </c>
    </row>
    <row r="196" spans="1:16" x14ac:dyDescent="0.25">
      <c r="A196" t="s">
        <v>316</v>
      </c>
      <c r="B196" t="s">
        <v>315</v>
      </c>
      <c r="C196" t="s">
        <v>270</v>
      </c>
      <c r="D196" t="s">
        <v>271</v>
      </c>
      <c r="E196" t="s">
        <v>13</v>
      </c>
      <c r="F196">
        <v>19.963539999999998</v>
      </c>
      <c r="G196">
        <v>27.679749999999999</v>
      </c>
      <c r="H196">
        <v>32.080199999999998</v>
      </c>
      <c r="I196">
        <v>30.106480000000001</v>
      </c>
      <c r="J196">
        <v>35.28246</v>
      </c>
      <c r="K196">
        <v>35.885539999999999</v>
      </c>
      <c r="L196">
        <v>36.469709999999999</v>
      </c>
      <c r="M196">
        <v>37.74024</v>
      </c>
      <c r="N196">
        <v>37.492420000000003</v>
      </c>
      <c r="O196">
        <v>38.100569999999998</v>
      </c>
      <c r="P196">
        <v>39.347830000000002</v>
      </c>
    </row>
    <row r="197" spans="1:16" x14ac:dyDescent="0.25">
      <c r="A197" t="s">
        <v>316</v>
      </c>
      <c r="B197" t="s">
        <v>315</v>
      </c>
      <c r="C197" t="s">
        <v>268</v>
      </c>
      <c r="D197" t="s">
        <v>269</v>
      </c>
      <c r="E197" t="s">
        <v>13</v>
      </c>
      <c r="F197">
        <v>12.61913</v>
      </c>
      <c r="G197">
        <v>11.644019999999999</v>
      </c>
      <c r="H197">
        <v>15.648400000000001</v>
      </c>
      <c r="I197">
        <v>14.9826</v>
      </c>
      <c r="J197">
        <v>15.62121</v>
      </c>
      <c r="K197">
        <v>16.85371</v>
      </c>
      <c r="L197">
        <v>19.020530000000001</v>
      </c>
      <c r="M197">
        <v>19.268550000000001</v>
      </c>
      <c r="N197">
        <v>16.189679999999999</v>
      </c>
      <c r="O197">
        <v>16.76671</v>
      </c>
      <c r="P197">
        <v>15.338649999999999</v>
      </c>
    </row>
    <row r="198" spans="1:16" x14ac:dyDescent="0.25">
      <c r="A198" t="s">
        <v>316</v>
      </c>
      <c r="B198" t="s">
        <v>315</v>
      </c>
      <c r="C198" t="s">
        <v>272</v>
      </c>
      <c r="D198" t="s">
        <v>273</v>
      </c>
      <c r="E198" t="s">
        <v>13</v>
      </c>
      <c r="F198" t="s">
        <v>13</v>
      </c>
      <c r="G198">
        <v>2.8494079999999999</v>
      </c>
      <c r="H198">
        <v>3.063167</v>
      </c>
      <c r="I198">
        <v>3.3446340000000001</v>
      </c>
      <c r="J198">
        <v>6.8387989999999999</v>
      </c>
      <c r="K198">
        <v>5.7534869999999998</v>
      </c>
      <c r="L198">
        <v>3.4191479999999999</v>
      </c>
      <c r="M198">
        <v>3.113435</v>
      </c>
      <c r="N198">
        <v>2.6232540000000002</v>
      </c>
      <c r="O198">
        <v>9.3720549999999996</v>
      </c>
      <c r="P198">
        <v>8.7922080000000005</v>
      </c>
    </row>
    <row r="199" spans="1:16" x14ac:dyDescent="0.25">
      <c r="A199" t="s">
        <v>316</v>
      </c>
      <c r="B199" t="s">
        <v>315</v>
      </c>
      <c r="C199" t="s">
        <v>342</v>
      </c>
      <c r="D199" t="s">
        <v>341</v>
      </c>
      <c r="E199" t="s">
        <v>13</v>
      </c>
      <c r="F199">
        <v>18.08447</v>
      </c>
      <c r="G199">
        <v>16.994319999999998</v>
      </c>
      <c r="H199">
        <v>17.170940000000002</v>
      </c>
      <c r="I199">
        <v>17.89856</v>
      </c>
      <c r="J199">
        <v>17.847639999999998</v>
      </c>
      <c r="K199">
        <v>18.48705</v>
      </c>
      <c r="L199">
        <v>18.83605</v>
      </c>
      <c r="M199">
        <v>19.020759999999999</v>
      </c>
      <c r="N199">
        <v>19.534369999999999</v>
      </c>
      <c r="O199">
        <v>18.52908</v>
      </c>
      <c r="P199">
        <v>17.833950000000002</v>
      </c>
    </row>
    <row r="200" spans="1:16" x14ac:dyDescent="0.25">
      <c r="A200" t="s">
        <v>316</v>
      </c>
      <c r="B200" t="s">
        <v>315</v>
      </c>
      <c r="C200" t="s">
        <v>274</v>
      </c>
      <c r="D200" t="s">
        <v>275</v>
      </c>
      <c r="E200" t="s">
        <v>13</v>
      </c>
      <c r="F200" t="s">
        <v>13</v>
      </c>
      <c r="G200">
        <v>9.7310529999999993</v>
      </c>
      <c r="H200">
        <v>15.777139999999999</v>
      </c>
      <c r="I200" t="s">
        <v>13</v>
      </c>
      <c r="J200">
        <v>11.558529999999999</v>
      </c>
      <c r="K200">
        <v>18.21367</v>
      </c>
      <c r="L200">
        <v>21.073329999999999</v>
      </c>
      <c r="M200">
        <v>20.973089999999999</v>
      </c>
      <c r="N200">
        <v>18.69821</v>
      </c>
      <c r="O200">
        <v>13.970750000000001</v>
      </c>
      <c r="P200">
        <v>15.34032</v>
      </c>
    </row>
    <row r="201" spans="1:16" x14ac:dyDescent="0.25">
      <c r="A201" t="s">
        <v>316</v>
      </c>
      <c r="B201" t="s">
        <v>315</v>
      </c>
      <c r="C201" t="s">
        <v>278</v>
      </c>
      <c r="D201" t="s">
        <v>279</v>
      </c>
      <c r="E201" t="s">
        <v>13</v>
      </c>
      <c r="F201" t="s">
        <v>13</v>
      </c>
      <c r="G201">
        <v>15.538629999999999</v>
      </c>
      <c r="H201">
        <v>18.024080000000001</v>
      </c>
      <c r="I201">
        <v>18.891680000000001</v>
      </c>
      <c r="J201">
        <v>19.107690000000002</v>
      </c>
      <c r="K201">
        <v>20.639679999999998</v>
      </c>
      <c r="L201">
        <v>19.816089999999999</v>
      </c>
      <c r="M201">
        <v>19.07788</v>
      </c>
      <c r="N201">
        <v>19.881239999999998</v>
      </c>
      <c r="O201">
        <v>20.591049999999999</v>
      </c>
      <c r="P201">
        <v>22.17841</v>
      </c>
    </row>
    <row r="202" spans="1:16" x14ac:dyDescent="0.25">
      <c r="A202" t="s">
        <v>316</v>
      </c>
      <c r="B202" t="s">
        <v>315</v>
      </c>
      <c r="C202" t="s">
        <v>276</v>
      </c>
      <c r="D202" t="s">
        <v>277</v>
      </c>
      <c r="E202" t="s">
        <v>13</v>
      </c>
      <c r="F202">
        <v>3.1434329999999999</v>
      </c>
      <c r="G202">
        <v>6.8894780000000004</v>
      </c>
      <c r="H202">
        <v>7.2767249999999999</v>
      </c>
      <c r="I202">
        <v>7.4109340000000001</v>
      </c>
      <c r="J202">
        <v>7.6148910000000001</v>
      </c>
      <c r="K202">
        <v>7.903003</v>
      </c>
      <c r="L202">
        <v>8.1293450000000007</v>
      </c>
      <c r="M202">
        <v>8.1639689999999998</v>
      </c>
      <c r="N202">
        <v>8.7384430000000002</v>
      </c>
      <c r="O202">
        <v>8.1268539999999998</v>
      </c>
      <c r="P202">
        <v>7.8838290000000004</v>
      </c>
    </row>
    <row r="203" spans="1:16" hidden="1" x14ac:dyDescent="0.25">
      <c r="A203" t="s">
        <v>316</v>
      </c>
      <c r="B203" t="s">
        <v>315</v>
      </c>
      <c r="C203" t="s">
        <v>340</v>
      </c>
      <c r="D203" t="s">
        <v>339</v>
      </c>
      <c r="E203" t="s">
        <v>13</v>
      </c>
      <c r="F203" t="s">
        <v>13</v>
      </c>
      <c r="G203" t="s">
        <v>13</v>
      </c>
      <c r="H203" t="s">
        <v>13</v>
      </c>
      <c r="I203" t="s">
        <v>13</v>
      </c>
      <c r="J203" t="s">
        <v>13</v>
      </c>
      <c r="K203" t="s">
        <v>13</v>
      </c>
      <c r="L203" t="s">
        <v>13</v>
      </c>
      <c r="M203" t="s">
        <v>13</v>
      </c>
      <c r="N203" t="s">
        <v>13</v>
      </c>
      <c r="O203" t="s">
        <v>13</v>
      </c>
      <c r="P203" t="s">
        <v>13</v>
      </c>
    </row>
    <row r="204" spans="1:16" hidden="1" x14ac:dyDescent="0.25">
      <c r="A204" t="s">
        <v>316</v>
      </c>
      <c r="B204" t="s">
        <v>315</v>
      </c>
      <c r="C204" t="s">
        <v>338</v>
      </c>
      <c r="D204" t="s">
        <v>337</v>
      </c>
      <c r="E204" t="s">
        <v>13</v>
      </c>
      <c r="F204" t="s">
        <v>13</v>
      </c>
      <c r="G204">
        <v>9.9262619999999995</v>
      </c>
      <c r="H204">
        <v>10.73865</v>
      </c>
      <c r="I204" t="s">
        <v>13</v>
      </c>
      <c r="J204">
        <v>5.2902820000000004</v>
      </c>
      <c r="K204">
        <v>10.8687</v>
      </c>
      <c r="L204">
        <v>8.0873810000000006</v>
      </c>
      <c r="M204">
        <v>8.8867370000000001</v>
      </c>
      <c r="N204">
        <v>9.5716909999999995</v>
      </c>
      <c r="O204" t="s">
        <v>13</v>
      </c>
      <c r="P204" t="s">
        <v>13</v>
      </c>
    </row>
    <row r="205" spans="1:16" hidden="1" x14ac:dyDescent="0.25">
      <c r="A205" t="s">
        <v>316</v>
      </c>
      <c r="B205" t="s">
        <v>315</v>
      </c>
      <c r="C205" t="s">
        <v>336</v>
      </c>
      <c r="D205" t="s">
        <v>335</v>
      </c>
      <c r="E205" t="s">
        <v>13</v>
      </c>
      <c r="F205" t="s">
        <v>13</v>
      </c>
      <c r="G205" t="s">
        <v>13</v>
      </c>
      <c r="H205" t="s">
        <v>13</v>
      </c>
      <c r="I205" t="s">
        <v>13</v>
      </c>
      <c r="J205" t="s">
        <v>13</v>
      </c>
      <c r="K205" t="s">
        <v>13</v>
      </c>
      <c r="L205" t="s">
        <v>13</v>
      </c>
      <c r="M205" t="s">
        <v>13</v>
      </c>
      <c r="N205" t="s">
        <v>13</v>
      </c>
      <c r="O205" t="s">
        <v>13</v>
      </c>
      <c r="P205" t="s">
        <v>13</v>
      </c>
    </row>
    <row r="206" spans="1:16" x14ac:dyDescent="0.25">
      <c r="A206" t="s">
        <v>316</v>
      </c>
      <c r="B206" t="s">
        <v>315</v>
      </c>
      <c r="C206" t="s">
        <v>280</v>
      </c>
      <c r="D206" t="s">
        <v>281</v>
      </c>
      <c r="E206" t="s">
        <v>13</v>
      </c>
      <c r="F206">
        <v>17.230180000000001</v>
      </c>
      <c r="G206">
        <v>15.58006</v>
      </c>
      <c r="H206">
        <v>13.294700000000001</v>
      </c>
      <c r="I206" t="s">
        <v>13</v>
      </c>
      <c r="J206">
        <v>25.533290000000001</v>
      </c>
      <c r="K206">
        <v>23.410250000000001</v>
      </c>
      <c r="L206">
        <v>17.375789999999999</v>
      </c>
      <c r="M206" t="s">
        <v>13</v>
      </c>
      <c r="N206">
        <v>23.68393</v>
      </c>
      <c r="O206">
        <v>18.655940000000001</v>
      </c>
      <c r="P206">
        <v>21.36008</v>
      </c>
    </row>
    <row r="207" spans="1:16" x14ac:dyDescent="0.25">
      <c r="A207" t="s">
        <v>316</v>
      </c>
      <c r="B207" t="s">
        <v>315</v>
      </c>
      <c r="C207" t="s">
        <v>282</v>
      </c>
      <c r="D207" t="s">
        <v>283</v>
      </c>
      <c r="E207" t="s">
        <v>13</v>
      </c>
      <c r="F207">
        <v>38.502540000000003</v>
      </c>
      <c r="G207">
        <v>27.04214</v>
      </c>
      <c r="H207">
        <v>27.52403</v>
      </c>
      <c r="I207">
        <v>31.447489999999998</v>
      </c>
      <c r="J207">
        <v>31.165019999999998</v>
      </c>
      <c r="K207">
        <v>32.314900000000002</v>
      </c>
      <c r="L207">
        <v>32.757640000000002</v>
      </c>
      <c r="M207">
        <v>32.289790000000004</v>
      </c>
      <c r="N207">
        <v>34.975450000000002</v>
      </c>
      <c r="O207">
        <v>34.963729999999998</v>
      </c>
      <c r="P207">
        <v>38.681489999999997</v>
      </c>
    </row>
    <row r="208" spans="1:16" x14ac:dyDescent="0.25">
      <c r="A208" t="s">
        <v>316</v>
      </c>
      <c r="B208" t="s">
        <v>315</v>
      </c>
      <c r="C208" t="s">
        <v>334</v>
      </c>
      <c r="D208" t="s">
        <v>333</v>
      </c>
      <c r="E208" t="s">
        <v>13</v>
      </c>
      <c r="F208">
        <v>12.701029999999999</v>
      </c>
      <c r="G208">
        <v>12.547280000000001</v>
      </c>
      <c r="H208">
        <v>10.556609999999999</v>
      </c>
      <c r="I208">
        <v>11.04237</v>
      </c>
      <c r="J208">
        <v>10.397919999999999</v>
      </c>
      <c r="K208">
        <v>10.64479</v>
      </c>
      <c r="L208">
        <v>10.83999</v>
      </c>
      <c r="M208">
        <v>10.53031</v>
      </c>
      <c r="N208">
        <v>10.123609999999999</v>
      </c>
      <c r="O208">
        <v>9.1527130000000003</v>
      </c>
      <c r="P208">
        <v>7.2937310000000002</v>
      </c>
    </row>
    <row r="209" spans="1:16" hidden="1" x14ac:dyDescent="0.25">
      <c r="A209" t="s">
        <v>316</v>
      </c>
      <c r="B209" t="s">
        <v>315</v>
      </c>
      <c r="C209" t="s">
        <v>332</v>
      </c>
      <c r="D209" t="s">
        <v>331</v>
      </c>
      <c r="E209" t="s">
        <v>13</v>
      </c>
      <c r="F209" t="s">
        <v>13</v>
      </c>
      <c r="G209" t="s">
        <v>13</v>
      </c>
      <c r="H209" t="s">
        <v>13</v>
      </c>
      <c r="I209" t="s">
        <v>13</v>
      </c>
      <c r="J209">
        <v>43.351460000000003</v>
      </c>
      <c r="K209">
        <v>38.738799999999998</v>
      </c>
      <c r="L209">
        <v>36.267330000000001</v>
      </c>
      <c r="M209">
        <v>37.176760000000002</v>
      </c>
      <c r="N209">
        <v>40.623860000000001</v>
      </c>
      <c r="O209" t="s">
        <v>13</v>
      </c>
      <c r="P209" t="s">
        <v>13</v>
      </c>
    </row>
    <row r="210" spans="1:16" hidden="1" x14ac:dyDescent="0.25">
      <c r="A210" t="s">
        <v>316</v>
      </c>
      <c r="B210" t="s">
        <v>315</v>
      </c>
      <c r="C210" t="s">
        <v>330</v>
      </c>
      <c r="D210" t="s">
        <v>329</v>
      </c>
      <c r="E210" t="s">
        <v>13</v>
      </c>
      <c r="F210" t="s">
        <v>13</v>
      </c>
      <c r="G210" t="s">
        <v>13</v>
      </c>
      <c r="H210" t="s">
        <v>13</v>
      </c>
      <c r="I210" t="s">
        <v>13</v>
      </c>
      <c r="J210" t="s">
        <v>13</v>
      </c>
      <c r="K210" t="s">
        <v>13</v>
      </c>
      <c r="L210" t="s">
        <v>13</v>
      </c>
      <c r="M210" t="s">
        <v>13</v>
      </c>
      <c r="N210" t="s">
        <v>13</v>
      </c>
      <c r="O210" t="s">
        <v>13</v>
      </c>
      <c r="P210" t="s">
        <v>13</v>
      </c>
    </row>
    <row r="211" spans="1:16" hidden="1" x14ac:dyDescent="0.25">
      <c r="A211" t="s">
        <v>316</v>
      </c>
      <c r="B211" t="s">
        <v>315</v>
      </c>
      <c r="C211" t="s">
        <v>328</v>
      </c>
      <c r="D211" t="s">
        <v>327</v>
      </c>
      <c r="E211" t="s">
        <v>13</v>
      </c>
      <c r="F211" t="s">
        <v>13</v>
      </c>
      <c r="G211" t="s">
        <v>13</v>
      </c>
      <c r="H211" t="s">
        <v>13</v>
      </c>
      <c r="I211" t="s">
        <v>13</v>
      </c>
      <c r="J211" t="s">
        <v>13</v>
      </c>
      <c r="K211" t="s">
        <v>13</v>
      </c>
      <c r="L211" t="s">
        <v>13</v>
      </c>
      <c r="M211" t="s">
        <v>13</v>
      </c>
      <c r="N211" t="s">
        <v>13</v>
      </c>
      <c r="O211" t="s">
        <v>13</v>
      </c>
      <c r="P211" t="s">
        <v>13</v>
      </c>
    </row>
    <row r="212" spans="1:16" x14ac:dyDescent="0.25">
      <c r="A212" t="s">
        <v>316</v>
      </c>
      <c r="B212" t="s">
        <v>315</v>
      </c>
      <c r="C212" t="s">
        <v>284</v>
      </c>
      <c r="D212" t="s">
        <v>285</v>
      </c>
      <c r="E212" t="s">
        <v>13</v>
      </c>
      <c r="F212">
        <v>10.501849999999999</v>
      </c>
      <c r="G212">
        <v>15.23922</v>
      </c>
      <c r="H212">
        <v>14.00582</v>
      </c>
      <c r="I212">
        <v>14.161960000000001</v>
      </c>
      <c r="J212">
        <v>13.192159999999999</v>
      </c>
      <c r="K212">
        <v>15.14695</v>
      </c>
      <c r="L212">
        <v>16.19445</v>
      </c>
      <c r="M212">
        <v>15.023849999999999</v>
      </c>
      <c r="N212">
        <v>16.707380000000001</v>
      </c>
      <c r="O212">
        <v>15.132820000000001</v>
      </c>
      <c r="P212">
        <v>16.675339999999998</v>
      </c>
    </row>
    <row r="213" spans="1:16" x14ac:dyDescent="0.25">
      <c r="A213" t="s">
        <v>316</v>
      </c>
      <c r="B213" t="s">
        <v>315</v>
      </c>
      <c r="C213" t="s">
        <v>286</v>
      </c>
      <c r="D213" t="s">
        <v>287</v>
      </c>
      <c r="E213" t="s">
        <v>13</v>
      </c>
      <c r="F213">
        <v>6.1977180000000001</v>
      </c>
      <c r="G213">
        <v>5.7524509999999998</v>
      </c>
      <c r="H213">
        <v>5.5491570000000001</v>
      </c>
      <c r="I213">
        <v>4.3359209999999999</v>
      </c>
      <c r="J213">
        <v>4.3517289999999997</v>
      </c>
      <c r="K213">
        <v>3.8603869999999998</v>
      </c>
      <c r="L213">
        <v>4.7616719999999999</v>
      </c>
      <c r="M213">
        <v>6.0163169999999999</v>
      </c>
      <c r="N213">
        <v>8.6097199999999994</v>
      </c>
      <c r="O213">
        <v>6.2994810000000001</v>
      </c>
      <c r="P213">
        <v>5.1844590000000004</v>
      </c>
    </row>
    <row r="214" spans="1:16" x14ac:dyDescent="0.25">
      <c r="A214" t="s">
        <v>316</v>
      </c>
      <c r="B214" t="s">
        <v>315</v>
      </c>
      <c r="C214" t="s">
        <v>288</v>
      </c>
      <c r="D214" t="s">
        <v>289</v>
      </c>
      <c r="E214" t="s">
        <v>13</v>
      </c>
      <c r="F214">
        <v>26.480329999999999</v>
      </c>
      <c r="G214">
        <v>25.89978</v>
      </c>
      <c r="H214">
        <v>25.689599999999999</v>
      </c>
      <c r="I214">
        <v>25.854130000000001</v>
      </c>
      <c r="J214">
        <v>26.12293</v>
      </c>
      <c r="K214">
        <v>25.039580000000001</v>
      </c>
      <c r="L214">
        <v>26.54524</v>
      </c>
      <c r="M214">
        <v>25.318100000000001</v>
      </c>
      <c r="N214">
        <v>24.590509999999998</v>
      </c>
      <c r="O214">
        <v>22.13758</v>
      </c>
      <c r="P214">
        <v>22.288399999999999</v>
      </c>
    </row>
    <row r="215" spans="1:16" x14ac:dyDescent="0.25">
      <c r="A215" t="s">
        <v>316</v>
      </c>
      <c r="B215" t="s">
        <v>315</v>
      </c>
      <c r="C215" t="s">
        <v>290</v>
      </c>
      <c r="D215" t="s">
        <v>291</v>
      </c>
      <c r="E215" t="s">
        <v>13</v>
      </c>
      <c r="F215">
        <v>15.59074</v>
      </c>
      <c r="G215">
        <v>8.7170989999999993</v>
      </c>
      <c r="H215">
        <v>9.6269449999999992</v>
      </c>
      <c r="I215">
        <v>11.649290000000001</v>
      </c>
      <c r="J215">
        <v>18.291679999999999</v>
      </c>
      <c r="K215">
        <v>17.51455</v>
      </c>
      <c r="L215">
        <v>15.88067</v>
      </c>
      <c r="M215">
        <v>18.697839999999999</v>
      </c>
      <c r="N215">
        <v>18.376560000000001</v>
      </c>
      <c r="O215">
        <v>17.627220000000001</v>
      </c>
      <c r="P215">
        <v>18.106619999999999</v>
      </c>
    </row>
    <row r="216" spans="1:16" x14ac:dyDescent="0.25">
      <c r="A216" t="s">
        <v>316</v>
      </c>
      <c r="B216" t="s">
        <v>315</v>
      </c>
      <c r="C216" t="s">
        <v>292</v>
      </c>
      <c r="D216" t="s">
        <v>293</v>
      </c>
      <c r="E216" t="s">
        <v>13</v>
      </c>
      <c r="F216">
        <v>27.017849999999999</v>
      </c>
      <c r="G216">
        <v>33.746960000000001</v>
      </c>
      <c r="H216">
        <v>33.925609999999999</v>
      </c>
      <c r="I216">
        <v>34.108719999999998</v>
      </c>
      <c r="J216">
        <v>34.139659999999999</v>
      </c>
      <c r="K216">
        <v>33.668979999999998</v>
      </c>
      <c r="L216">
        <v>33.624949999999998</v>
      </c>
      <c r="M216">
        <v>34.683120000000002</v>
      </c>
      <c r="N216">
        <v>35.16919</v>
      </c>
      <c r="O216">
        <v>30.299410000000002</v>
      </c>
      <c r="P216">
        <v>31.06195</v>
      </c>
    </row>
    <row r="217" spans="1:16" x14ac:dyDescent="0.25">
      <c r="A217" t="s">
        <v>316</v>
      </c>
      <c r="B217" t="s">
        <v>315</v>
      </c>
      <c r="C217" t="s">
        <v>294</v>
      </c>
      <c r="D217" t="s">
        <v>295</v>
      </c>
      <c r="E217" t="s">
        <v>13</v>
      </c>
      <c r="F217">
        <v>5.7682989999999998</v>
      </c>
      <c r="G217">
        <v>6.3475469999999996</v>
      </c>
      <c r="H217">
        <v>6.1029609999999996</v>
      </c>
      <c r="I217">
        <v>5.6089029999999998</v>
      </c>
      <c r="J217">
        <v>5.5362080000000002</v>
      </c>
      <c r="K217">
        <v>6.0409800000000002</v>
      </c>
      <c r="L217">
        <v>7.8631289999999998</v>
      </c>
      <c r="M217">
        <v>7.4779200000000001</v>
      </c>
      <c r="N217">
        <v>7.8627750000000001</v>
      </c>
      <c r="O217">
        <v>6.9319730000000002</v>
      </c>
      <c r="P217">
        <v>6.0761029999999998</v>
      </c>
    </row>
    <row r="218" spans="1:16" x14ac:dyDescent="0.25">
      <c r="A218" t="s">
        <v>316</v>
      </c>
      <c r="B218" t="s">
        <v>315</v>
      </c>
      <c r="C218" t="s">
        <v>296</v>
      </c>
      <c r="D218" t="s">
        <v>297</v>
      </c>
      <c r="E218" t="s">
        <v>13</v>
      </c>
      <c r="F218">
        <v>22.177219999999998</v>
      </c>
      <c r="G218">
        <v>7.5335409999999996</v>
      </c>
      <c r="H218">
        <v>7.4006069999999999</v>
      </c>
      <c r="I218">
        <v>7.1078919999999997</v>
      </c>
      <c r="J218">
        <v>8.7919970000000003</v>
      </c>
      <c r="K218">
        <v>7.46652</v>
      </c>
      <c r="L218">
        <v>10.161619999999999</v>
      </c>
      <c r="M218">
        <v>9.8012300000000003</v>
      </c>
      <c r="N218">
        <v>13.91469</v>
      </c>
      <c r="O218">
        <v>11.468109999999999</v>
      </c>
      <c r="P218">
        <v>11.21105</v>
      </c>
    </row>
    <row r="219" spans="1:16" hidden="1" x14ac:dyDescent="0.25">
      <c r="A219" t="s">
        <v>316</v>
      </c>
      <c r="B219" t="s">
        <v>315</v>
      </c>
      <c r="C219" t="s">
        <v>326</v>
      </c>
      <c r="D219" t="s">
        <v>325</v>
      </c>
      <c r="E219" t="s">
        <v>13</v>
      </c>
      <c r="F219" t="s">
        <v>13</v>
      </c>
      <c r="G219" t="s">
        <v>13</v>
      </c>
      <c r="H219" t="s">
        <v>13</v>
      </c>
      <c r="I219" t="s">
        <v>13</v>
      </c>
      <c r="J219" t="s">
        <v>13</v>
      </c>
      <c r="K219" t="s">
        <v>13</v>
      </c>
      <c r="L219" t="s">
        <v>13</v>
      </c>
      <c r="M219" t="s">
        <v>13</v>
      </c>
      <c r="N219" t="s">
        <v>13</v>
      </c>
      <c r="O219" t="s">
        <v>13</v>
      </c>
      <c r="P219" t="s">
        <v>13</v>
      </c>
    </row>
    <row r="220" spans="1:16" x14ac:dyDescent="0.25">
      <c r="A220" t="s">
        <v>316</v>
      </c>
      <c r="B220" t="s">
        <v>315</v>
      </c>
      <c r="C220" t="s">
        <v>298</v>
      </c>
      <c r="D220" t="s">
        <v>299</v>
      </c>
      <c r="E220" t="s">
        <v>13</v>
      </c>
      <c r="F220">
        <v>9.5303330000000006</v>
      </c>
      <c r="G220">
        <v>8.2085260000000009</v>
      </c>
      <c r="H220">
        <v>7.0610739999999996</v>
      </c>
      <c r="I220">
        <v>7.3231140000000003</v>
      </c>
      <c r="J220" t="s">
        <v>13</v>
      </c>
      <c r="K220" t="s">
        <v>13</v>
      </c>
      <c r="L220" t="s">
        <v>13</v>
      </c>
      <c r="M220">
        <v>12.871130000000001</v>
      </c>
      <c r="N220">
        <v>12.483919999999999</v>
      </c>
      <c r="O220">
        <v>15.001519999999999</v>
      </c>
      <c r="P220">
        <v>12.702590000000001</v>
      </c>
    </row>
    <row r="221" spans="1:16" x14ac:dyDescent="0.25">
      <c r="A221" t="s">
        <v>316</v>
      </c>
      <c r="B221" t="s">
        <v>315</v>
      </c>
      <c r="C221" t="s">
        <v>324</v>
      </c>
      <c r="D221" t="s">
        <v>323</v>
      </c>
      <c r="E221" t="s">
        <v>13</v>
      </c>
      <c r="F221">
        <v>9.6141799999999993</v>
      </c>
      <c r="G221">
        <v>15.619440000000001</v>
      </c>
      <c r="H221">
        <v>15.32516</v>
      </c>
      <c r="I221">
        <v>14.679040000000001</v>
      </c>
      <c r="J221">
        <v>13.85397</v>
      </c>
      <c r="K221">
        <v>12.813470000000001</v>
      </c>
      <c r="L221">
        <v>12.60946</v>
      </c>
      <c r="M221">
        <v>13.251709999999999</v>
      </c>
      <c r="N221">
        <v>13.02772</v>
      </c>
      <c r="O221">
        <v>13.61867</v>
      </c>
      <c r="P221">
        <v>14.66488</v>
      </c>
    </row>
    <row r="222" spans="1:16" hidden="1" x14ac:dyDescent="0.25">
      <c r="A222" t="s">
        <v>316</v>
      </c>
      <c r="B222" t="s">
        <v>315</v>
      </c>
      <c r="C222" t="s">
        <v>322</v>
      </c>
      <c r="D222" t="s">
        <v>321</v>
      </c>
      <c r="E222" t="s">
        <v>13</v>
      </c>
      <c r="F222" t="s">
        <v>13</v>
      </c>
      <c r="G222" t="s">
        <v>13</v>
      </c>
      <c r="H222" t="s">
        <v>13</v>
      </c>
      <c r="I222" t="s">
        <v>13</v>
      </c>
      <c r="J222" t="s">
        <v>13</v>
      </c>
      <c r="K222" t="s">
        <v>13</v>
      </c>
      <c r="L222" t="s">
        <v>13</v>
      </c>
      <c r="M222" t="s">
        <v>13</v>
      </c>
      <c r="N222" t="s">
        <v>13</v>
      </c>
      <c r="O222" t="s">
        <v>13</v>
      </c>
      <c r="P222" t="s">
        <v>13</v>
      </c>
    </row>
    <row r="223" spans="1:16" hidden="1" x14ac:dyDescent="0.25">
      <c r="A223" t="s">
        <v>316</v>
      </c>
      <c r="B223" t="s">
        <v>315</v>
      </c>
      <c r="C223" t="s">
        <v>320</v>
      </c>
      <c r="D223" t="s">
        <v>319</v>
      </c>
      <c r="E223" t="s">
        <v>13</v>
      </c>
      <c r="F223" t="s">
        <v>13</v>
      </c>
      <c r="G223" t="s">
        <v>13</v>
      </c>
      <c r="H223" t="s">
        <v>13</v>
      </c>
      <c r="I223" t="s">
        <v>13</v>
      </c>
      <c r="J223" t="s">
        <v>13</v>
      </c>
      <c r="K223" t="s">
        <v>13</v>
      </c>
      <c r="L223" t="s">
        <v>13</v>
      </c>
      <c r="M223" t="s">
        <v>13</v>
      </c>
      <c r="N223" t="s">
        <v>13</v>
      </c>
      <c r="O223" t="s">
        <v>13</v>
      </c>
      <c r="P223" t="s">
        <v>13</v>
      </c>
    </row>
    <row r="224" spans="1:16" hidden="1" x14ac:dyDescent="0.25">
      <c r="A224" t="s">
        <v>316</v>
      </c>
      <c r="B224" t="s">
        <v>315</v>
      </c>
      <c r="C224" t="s">
        <v>318</v>
      </c>
      <c r="D224" t="s">
        <v>317</v>
      </c>
      <c r="E224" t="s">
        <v>13</v>
      </c>
      <c r="F224">
        <v>16.73997</v>
      </c>
      <c r="G224">
        <v>24.420770000000001</v>
      </c>
      <c r="H224">
        <v>20.15785</v>
      </c>
      <c r="I224" t="s">
        <v>13</v>
      </c>
      <c r="J224">
        <v>18.609089999999998</v>
      </c>
      <c r="K224">
        <v>15.91475</v>
      </c>
      <c r="L224">
        <v>16.7621</v>
      </c>
      <c r="M224">
        <v>16.649519999999999</v>
      </c>
      <c r="N224">
        <v>17.665240000000001</v>
      </c>
      <c r="O224" t="s">
        <v>13</v>
      </c>
      <c r="P224" t="s">
        <v>13</v>
      </c>
    </row>
    <row r="225" spans="1:16" x14ac:dyDescent="0.25">
      <c r="A225" t="s">
        <v>316</v>
      </c>
      <c r="B225" t="s">
        <v>315</v>
      </c>
      <c r="C225" t="s">
        <v>300</v>
      </c>
      <c r="D225" t="s">
        <v>301</v>
      </c>
      <c r="E225" t="s">
        <v>13</v>
      </c>
      <c r="F225">
        <v>8.0619949999999996</v>
      </c>
      <c r="G225">
        <v>10.194269999999999</v>
      </c>
      <c r="H225">
        <v>11.85641</v>
      </c>
      <c r="I225">
        <v>12.877140000000001</v>
      </c>
      <c r="J225">
        <v>10.26718</v>
      </c>
      <c r="K225">
        <v>10.323829999999999</v>
      </c>
      <c r="L225">
        <v>11.928990000000001</v>
      </c>
      <c r="M225">
        <v>8.958558</v>
      </c>
      <c r="N225">
        <v>9.1796579999999999</v>
      </c>
      <c r="O225">
        <v>6.4573720000000003</v>
      </c>
      <c r="P225">
        <v>8.8560300000000005</v>
      </c>
    </row>
    <row r="226" spans="1:16" x14ac:dyDescent="0.25">
      <c r="A226" t="s">
        <v>316</v>
      </c>
      <c r="B226" t="s">
        <v>315</v>
      </c>
      <c r="C226" t="s">
        <v>314</v>
      </c>
      <c r="D226" t="s">
        <v>313</v>
      </c>
      <c r="E226" t="s">
        <v>13</v>
      </c>
      <c r="F226">
        <v>6.4250170000000004</v>
      </c>
      <c r="G226">
        <v>5.4397019999999996</v>
      </c>
      <c r="H226">
        <v>5.3023379999999998</v>
      </c>
      <c r="I226">
        <v>5.0579559999999999</v>
      </c>
      <c r="J226">
        <v>5.497109</v>
      </c>
      <c r="K226">
        <v>5.2688959999999998</v>
      </c>
      <c r="L226">
        <v>5.1278959999999998</v>
      </c>
      <c r="M226">
        <v>5.2648989999999998</v>
      </c>
      <c r="N226">
        <v>7.4794960000000001</v>
      </c>
      <c r="O226">
        <v>7.084079</v>
      </c>
      <c r="P226">
        <v>8.0849899999999995</v>
      </c>
    </row>
    <row r="230" spans="1:16" x14ac:dyDescent="0.25">
      <c r="A230" t="s">
        <v>312</v>
      </c>
    </row>
    <row r="231" spans="1:16" x14ac:dyDescent="0.25">
      <c r="A231" t="s">
        <v>311</v>
      </c>
    </row>
  </sheetData>
  <autoFilter ref="A1:P226" xr:uid="{FE75BAC6-850D-432B-AA5F-742EFC14CB4C}">
    <filterColumn colId="15">
      <filters>
        <filter val="1.276241"/>
        <filter val="10.19327"/>
        <filter val="10.34125"/>
        <filter val="10.34337"/>
        <filter val="10.3452"/>
        <filter val="10.95238"/>
        <filter val="10.9863"/>
        <filter val="11.01254"/>
        <filter val="11.21105"/>
        <filter val="11.54701"/>
        <filter val="11.55515"/>
        <filter val="12.19272"/>
        <filter val="12.31924"/>
        <filter val="12.46007"/>
        <filter val="12.5704"/>
        <filter val="12.70259"/>
        <filter val="12.7788"/>
        <filter val="12.85732"/>
        <filter val="13.0423"/>
        <filter val="13.16945"/>
        <filter val="13.22551"/>
        <filter val="13.85122"/>
        <filter val="13.92242"/>
        <filter val="13.9577"/>
        <filter val="14.14526"/>
        <filter val="14.50642"/>
        <filter val="14.62098"/>
        <filter val="14.66488"/>
        <filter val="15.29255"/>
        <filter val="15.33865"/>
        <filter val="15.34032"/>
        <filter val="15.4485"/>
        <filter val="15.46206"/>
        <filter val="15.47712"/>
        <filter val="15.54836"/>
        <filter val="16.04881"/>
        <filter val="16.09242"/>
        <filter val="16.35463"/>
        <filter val="16.57787"/>
        <filter val="16.67534"/>
        <filter val="16.91558"/>
        <filter val="16.92211"/>
        <filter val="16.93897"/>
        <filter val="17.11392"/>
        <filter val="17.12395"/>
        <filter val="17.13345"/>
        <filter val="17.83395"/>
        <filter val="18.10662"/>
        <filter val="18.40884"/>
        <filter val="18.45945"/>
        <filter val="18.70014"/>
        <filter val="18.72809"/>
        <filter val="18.92566"/>
        <filter val="19.02191"/>
        <filter val="19.05608"/>
        <filter val="19.43808"/>
        <filter val="19.47947"/>
        <filter val="19.60885"/>
        <filter val="19.64149"/>
        <filter val="19.74722"/>
        <filter val="19.97747"/>
        <filter val="2.950683"/>
        <filter val="20.1897"/>
        <filter val="20.2597"/>
        <filter val="20.56678"/>
        <filter val="20.59571"/>
        <filter val="20.71885"/>
        <filter val="21.36008"/>
        <filter val="21.42436"/>
        <filter val="22.17841"/>
        <filter val="22.2884"/>
        <filter val="23.23094"/>
        <filter val="23.72112"/>
        <filter val="23.75342"/>
        <filter val="24.13341"/>
        <filter val="24.37054"/>
        <filter val="24.91561"/>
        <filter val="25.01797"/>
        <filter val="25.13264"/>
        <filter val="26.12195"/>
        <filter val="26.42471"/>
        <filter val="26.77147"/>
        <filter val="27.08953"/>
        <filter val="28.60143"/>
        <filter val="28.62815"/>
        <filter val="28.87113"/>
        <filter val="29.30272"/>
        <filter val="30.71606"/>
        <filter val="30.90653"/>
        <filter val="31.06195"/>
        <filter val="32.58395"/>
        <filter val="33.01206"/>
        <filter val="35.08618"/>
        <filter val="36.25018"/>
        <filter val="37.25005"/>
        <filter val="38.68149"/>
        <filter val="39.34783"/>
        <filter val="4.320385"/>
        <filter val="4.485082"/>
        <filter val="4.744682"/>
        <filter val="40.39326"/>
        <filter val="42.40052"/>
        <filter val="44.78266"/>
        <filter val="5.122434"/>
        <filter val="5.184459"/>
        <filter val="5.274584"/>
        <filter val="50.10564"/>
        <filter val="51.66831"/>
        <filter val="6.074417"/>
        <filter val="6.076103"/>
        <filter val="6.641998"/>
        <filter val="6.866006"/>
        <filter val="7.048028"/>
        <filter val="7.062472"/>
        <filter val="7.074254"/>
        <filter val="7.114153"/>
        <filter val="7.293731"/>
        <filter val="7.392629"/>
        <filter val="7.446439"/>
        <filter val="7.594283"/>
        <filter val="7.814275"/>
        <filter val="7.869337"/>
        <filter val="7.883829"/>
        <filter val="7.905212"/>
        <filter val="8.08499"/>
        <filter val="8.322064"/>
        <filter val="8.421521"/>
        <filter val="8.722918"/>
        <filter val="8.792208"/>
        <filter val="8.854549"/>
        <filter val="8.85603"/>
        <filter val="8.927644"/>
        <filter val="9.001644"/>
        <filter val="9.083421"/>
        <filter val="9.514566"/>
        <filter val="9.520221"/>
        <filter val="9.72354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Sample</vt:lpstr>
      <vt:lpstr>Country Survey Data</vt:lpstr>
      <vt:lpstr>Bank Z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Hoehler</dc:creator>
  <cp:lastModifiedBy>Martin Hoehler</cp:lastModifiedBy>
  <dcterms:created xsi:type="dcterms:W3CDTF">2025-01-20T02:48:54Z</dcterms:created>
  <dcterms:modified xsi:type="dcterms:W3CDTF">2025-01-20T04:32:03Z</dcterms:modified>
</cp:coreProperties>
</file>