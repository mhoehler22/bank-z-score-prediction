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mhoehler_my365_bellevue_edu/Documents/DSC550/Final/"/>
    </mc:Choice>
  </mc:AlternateContent>
  <xr:revisionPtr revIDLastSave="30" documentId="8_{1661F224-FEB1-4195-89C3-E14EE91DC178}" xr6:coauthVersionLast="47" xr6:coauthVersionMax="47" xr10:uidLastSave="{5700056A-378C-4CDF-AEE7-2A17F5BF2283}"/>
  <bookViews>
    <workbookView xWindow="-28920" yWindow="-3345" windowWidth="29040" windowHeight="15720" activeTab="1" xr2:uid="{9EEB2177-029A-4F5B-80F5-21DA2EA2EC56}"/>
  </bookViews>
  <sheets>
    <sheet name="Question key" sheetId="1" r:id="rId1"/>
    <sheet name="top 10 features" sheetId="2" r:id="rId2"/>
  </sheets>
  <definedNames>
    <definedName name="_xlnm._FilterDatabase" localSheetId="0" hidden="1">'Question key'!$A$1:$B$1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2" i="2"/>
</calcChain>
</file>

<file path=xl/sharedStrings.xml><?xml version="1.0" encoding="utf-8"?>
<sst xmlns="http://schemas.openxmlformats.org/spreadsheetml/2006/main" count="126" uniqueCount="76">
  <si>
    <t>Series Name</t>
  </si>
  <si>
    <t>Series Code</t>
  </si>
  <si>
    <t>Bank Z-score</t>
  </si>
  <si>
    <t>GFDD.SI.01</t>
  </si>
  <si>
    <t>Working capital financed by banks (%)</t>
  </si>
  <si>
    <t>GFDD.AI.35</t>
  </si>
  <si>
    <t>Value of collateral needed for a loan (% of the loan amount)</t>
  </si>
  <si>
    <t>GFDD.AI.31</t>
  </si>
  <si>
    <t>Small firms with a bank loan or line of credit (%)</t>
  </si>
  <si>
    <t>GFDD.AI.04</t>
  </si>
  <si>
    <t>Saved using a savings club in the past year (% age 15+)</t>
  </si>
  <si>
    <t>GFDD.AI.13</t>
  </si>
  <si>
    <t>Saved at a financial institution in the past year (% age 15+)</t>
  </si>
  <si>
    <t>GFDD.AI.06</t>
  </si>
  <si>
    <t>Saved any money in the past year (% age 15+)</t>
  </si>
  <si>
    <t>GFDD.AI.12</t>
  </si>
  <si>
    <t>Mobile phone used to send money (% age 15+)</t>
  </si>
  <si>
    <t>GFDD.AI.24</t>
  </si>
  <si>
    <t>Mobile phone used to pay bills (% age 15+)</t>
  </si>
  <si>
    <t>GFDD.AI.23</t>
  </si>
  <si>
    <t>Loans requiring collateral (%)</t>
  </si>
  <si>
    <t>GFDD.AI.30</t>
  </si>
  <si>
    <t>Loan through store credit in the past year (% age 15+)</t>
  </si>
  <si>
    <t>GFDD.AI.17</t>
  </si>
  <si>
    <t>Loan in the past year (% age 15+)</t>
  </si>
  <si>
    <t>GFDD.AI.14</t>
  </si>
  <si>
    <t>Loan from family or friends in the past year (% age 15+)</t>
  </si>
  <si>
    <t>GFDD.AI.18</t>
  </si>
  <si>
    <t>Loan from an employer in the past year (% age 15+)</t>
  </si>
  <si>
    <t>GFDD.AI.16</t>
  </si>
  <si>
    <t>Loan from a private lender in the past year (% age 15+)</t>
  </si>
  <si>
    <t>GFDD.AI.15</t>
  </si>
  <si>
    <t>Loan from a financial institution in the past year (% age 15+)</t>
  </si>
  <si>
    <t>GFDD.AI.07</t>
  </si>
  <si>
    <t>Investments financed by banks (%)</t>
  </si>
  <si>
    <t>GFDD.AI.34</t>
  </si>
  <si>
    <t>Firms with a checking or savings account (%)</t>
  </si>
  <si>
    <t>GFDD.AI.27</t>
  </si>
  <si>
    <t>Firms with a bank loan or line of credit (%)</t>
  </si>
  <si>
    <t>GFDD.AI.03</t>
  </si>
  <si>
    <t>Firms whose recent loan application was rejected (%)</t>
  </si>
  <si>
    <t>GFDD.AI.33</t>
  </si>
  <si>
    <t>Firms using banks to finance working capital (%)</t>
  </si>
  <si>
    <t>GFDD.AI.29</t>
  </si>
  <si>
    <t>Firms using banks to finance investments (%)</t>
  </si>
  <si>
    <t>GFDD.AI.28</t>
  </si>
  <si>
    <t>Firms not needing a loan (%)</t>
  </si>
  <si>
    <t>GFDD.AI.32</t>
  </si>
  <si>
    <t>Firms identifying access to finance as a major constraint (%)</t>
  </si>
  <si>
    <t>GFDD.AI.36</t>
  </si>
  <si>
    <t>Electronic payments used to make payments (% age 15+)</t>
  </si>
  <si>
    <t>GFDD.AI.22</t>
  </si>
  <si>
    <t>Depositing/withdrawing at least once in a typical month (% age 15+)</t>
  </si>
  <si>
    <t>GFDD.AI.26</t>
  </si>
  <si>
    <t>Debit card (% age 15+)</t>
  </si>
  <si>
    <t>GFDD.AI.21</t>
  </si>
  <si>
    <t>Credit card (% age 15+)</t>
  </si>
  <si>
    <t>GFDD.AI.20</t>
  </si>
  <si>
    <t>Checks used to make payments (% age 15+)</t>
  </si>
  <si>
    <t>GFDD.AI.19</t>
  </si>
  <si>
    <t>Bank branches per 100,000 adults</t>
  </si>
  <si>
    <t>GFDD.AI.02</t>
  </si>
  <si>
    <t>Bank accounts per 1,000 adults</t>
  </si>
  <si>
    <t>GFDD.AI.01</t>
  </si>
  <si>
    <t>ATMs per 100,000 adults</t>
  </si>
  <si>
    <t>GFDD.AI.25</t>
  </si>
  <si>
    <t>Account used to receive wages (% age 15+)</t>
  </si>
  <si>
    <t>GFDD.AI.11</t>
  </si>
  <si>
    <t>Account used to receive remittances (% age 15+)</t>
  </si>
  <si>
    <t>GFDD.AI.10</t>
  </si>
  <si>
    <t>Account used to receive government payments (% age 15+)</t>
  </si>
  <si>
    <t>GFDD.AI.09</t>
  </si>
  <si>
    <t>Account used for business purposes (% age 15+)</t>
  </si>
  <si>
    <t>GFDD.AI.08</t>
  </si>
  <si>
    <t>Account at a formal financial institution (% age 15+)</t>
  </si>
  <si>
    <t>GFDD.AI.05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</si>
</sst>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2928-8B1F-4208-BDFB-0836BFD3D081}">
  <dimension ref="A1:Q38"/>
  <sheetViews>
    <sheetView workbookViewId="0">
      <selection activeCell="B1" sqref="B1:C1"/>
    </sheetView>
  </sheetViews>
  <sheetFormatPr defaultRowHeight="15" x14ac:dyDescent="0.25"/>
  <cols>
    <col min="1" max="1" width="66" customWidth="1"/>
    <col min="2" max="2" width="18.5703125" customWidth="1"/>
    <col min="3" max="3" width="66" customWidth="1"/>
  </cols>
  <sheetData>
    <row r="1" spans="1:3" x14ac:dyDescent="0.25">
      <c r="A1" s="1" t="s">
        <v>0</v>
      </c>
      <c r="B1" s="1" t="s">
        <v>1</v>
      </c>
      <c r="C1" s="1" t="s">
        <v>0</v>
      </c>
    </row>
    <row r="2" spans="1:3" x14ac:dyDescent="0.25">
      <c r="A2" t="s">
        <v>62</v>
      </c>
      <c r="B2" t="s">
        <v>63</v>
      </c>
      <c r="C2" t="s">
        <v>62</v>
      </c>
    </row>
    <row r="3" spans="1:3" x14ac:dyDescent="0.25">
      <c r="A3" t="s">
        <v>60</v>
      </c>
      <c r="B3" t="s">
        <v>61</v>
      </c>
      <c r="C3" t="s">
        <v>60</v>
      </c>
    </row>
    <row r="4" spans="1:3" x14ac:dyDescent="0.25">
      <c r="A4" t="s">
        <v>38</v>
      </c>
      <c r="B4" t="s">
        <v>39</v>
      </c>
      <c r="C4" t="s">
        <v>38</v>
      </c>
    </row>
    <row r="5" spans="1:3" x14ac:dyDescent="0.25">
      <c r="A5" t="s">
        <v>8</v>
      </c>
      <c r="B5" t="s">
        <v>9</v>
      </c>
      <c r="C5" t="s">
        <v>8</v>
      </c>
    </row>
    <row r="6" spans="1:3" x14ac:dyDescent="0.25">
      <c r="A6" t="s">
        <v>74</v>
      </c>
      <c r="B6" t="s">
        <v>75</v>
      </c>
      <c r="C6" t="s">
        <v>74</v>
      </c>
    </row>
    <row r="7" spans="1:3" x14ac:dyDescent="0.25">
      <c r="A7" t="s">
        <v>12</v>
      </c>
      <c r="B7" t="s">
        <v>13</v>
      </c>
      <c r="C7" t="s">
        <v>12</v>
      </c>
    </row>
    <row r="8" spans="1:3" x14ac:dyDescent="0.25">
      <c r="A8" t="s">
        <v>32</v>
      </c>
      <c r="B8" t="s">
        <v>33</v>
      </c>
      <c r="C8" t="s">
        <v>32</v>
      </c>
    </row>
    <row r="9" spans="1:3" x14ac:dyDescent="0.25">
      <c r="A9" t="s">
        <v>72</v>
      </c>
      <c r="B9" t="s">
        <v>73</v>
      </c>
      <c r="C9" t="s">
        <v>72</v>
      </c>
    </row>
    <row r="10" spans="1:3" x14ac:dyDescent="0.25">
      <c r="A10" t="s">
        <v>70</v>
      </c>
      <c r="B10" t="s">
        <v>71</v>
      </c>
      <c r="C10" t="s">
        <v>70</v>
      </c>
    </row>
    <row r="11" spans="1:3" x14ac:dyDescent="0.25">
      <c r="A11" t="s">
        <v>68</v>
      </c>
      <c r="B11" t="s">
        <v>69</v>
      </c>
      <c r="C11" t="s">
        <v>68</v>
      </c>
    </row>
    <row r="12" spans="1:3" x14ac:dyDescent="0.25">
      <c r="A12" t="s">
        <v>66</v>
      </c>
      <c r="B12" t="s">
        <v>67</v>
      </c>
      <c r="C12" t="s">
        <v>66</v>
      </c>
    </row>
    <row r="13" spans="1:3" x14ac:dyDescent="0.25">
      <c r="A13" t="s">
        <v>14</v>
      </c>
      <c r="B13" t="s">
        <v>15</v>
      </c>
      <c r="C13" t="s">
        <v>14</v>
      </c>
    </row>
    <row r="14" spans="1:3" x14ac:dyDescent="0.25">
      <c r="A14" t="s">
        <v>10</v>
      </c>
      <c r="B14" t="s">
        <v>11</v>
      </c>
      <c r="C14" t="s">
        <v>10</v>
      </c>
    </row>
    <row r="15" spans="1:3" x14ac:dyDescent="0.25">
      <c r="A15" t="s">
        <v>24</v>
      </c>
      <c r="B15" t="s">
        <v>25</v>
      </c>
      <c r="C15" t="s">
        <v>24</v>
      </c>
    </row>
    <row r="16" spans="1:3" x14ac:dyDescent="0.25">
      <c r="A16" t="s">
        <v>30</v>
      </c>
      <c r="B16" t="s">
        <v>31</v>
      </c>
      <c r="C16" t="s">
        <v>30</v>
      </c>
    </row>
    <row r="17" spans="1:17" x14ac:dyDescent="0.25">
      <c r="A17" t="s">
        <v>28</v>
      </c>
      <c r="B17" t="s">
        <v>29</v>
      </c>
      <c r="C17" t="s">
        <v>28</v>
      </c>
      <c r="P17">
        <v>2000</v>
      </c>
      <c r="Q17">
        <v>2</v>
      </c>
    </row>
    <row r="18" spans="1:17" x14ac:dyDescent="0.25">
      <c r="A18" t="s">
        <v>22</v>
      </c>
      <c r="B18" t="s">
        <v>23</v>
      </c>
      <c r="C18" t="s">
        <v>22</v>
      </c>
      <c r="P18">
        <v>2001</v>
      </c>
    </row>
    <row r="19" spans="1:17" x14ac:dyDescent="0.25">
      <c r="A19" t="s">
        <v>26</v>
      </c>
      <c r="B19" t="s">
        <v>27</v>
      </c>
      <c r="C19" t="s">
        <v>26</v>
      </c>
      <c r="P19">
        <v>2002</v>
      </c>
    </row>
    <row r="20" spans="1:17" x14ac:dyDescent="0.25">
      <c r="A20" t="s">
        <v>58</v>
      </c>
      <c r="B20" t="s">
        <v>59</v>
      </c>
      <c r="C20" t="s">
        <v>58</v>
      </c>
      <c r="P20">
        <v>2003</v>
      </c>
    </row>
    <row r="21" spans="1:17" x14ac:dyDescent="0.25">
      <c r="A21" t="s">
        <v>56</v>
      </c>
      <c r="B21" t="s">
        <v>57</v>
      </c>
      <c r="C21" t="s">
        <v>56</v>
      </c>
      <c r="P21">
        <v>2004</v>
      </c>
      <c r="Q21">
        <v>6</v>
      </c>
    </row>
    <row r="22" spans="1:17" x14ac:dyDescent="0.25">
      <c r="A22" t="s">
        <v>54</v>
      </c>
      <c r="B22" t="s">
        <v>55</v>
      </c>
      <c r="C22" t="s">
        <v>54</v>
      </c>
    </row>
    <row r="23" spans="1:17" x14ac:dyDescent="0.25">
      <c r="A23" t="s">
        <v>50</v>
      </c>
      <c r="B23" t="s">
        <v>51</v>
      </c>
      <c r="C23" t="s">
        <v>50</v>
      </c>
    </row>
    <row r="24" spans="1:17" x14ac:dyDescent="0.25">
      <c r="A24" t="s">
        <v>18</v>
      </c>
      <c r="B24" t="s">
        <v>19</v>
      </c>
      <c r="C24" t="s">
        <v>18</v>
      </c>
    </row>
    <row r="25" spans="1:17" x14ac:dyDescent="0.25">
      <c r="A25" t="s">
        <v>16</v>
      </c>
      <c r="B25" t="s">
        <v>17</v>
      </c>
      <c r="C25" t="s">
        <v>16</v>
      </c>
    </row>
    <row r="26" spans="1:17" x14ac:dyDescent="0.25">
      <c r="A26" t="s">
        <v>64</v>
      </c>
      <c r="B26" t="s">
        <v>65</v>
      </c>
      <c r="C26" t="s">
        <v>64</v>
      </c>
    </row>
    <row r="27" spans="1:17" x14ac:dyDescent="0.25">
      <c r="A27" t="s">
        <v>52</v>
      </c>
      <c r="B27" t="s">
        <v>53</v>
      </c>
      <c r="C27" t="s">
        <v>52</v>
      </c>
    </row>
    <row r="28" spans="1:17" x14ac:dyDescent="0.25">
      <c r="A28" t="s">
        <v>36</v>
      </c>
      <c r="B28" t="s">
        <v>37</v>
      </c>
      <c r="C28" t="s">
        <v>36</v>
      </c>
    </row>
    <row r="29" spans="1:17" x14ac:dyDescent="0.25">
      <c r="A29" t="s">
        <v>44</v>
      </c>
      <c r="B29" t="s">
        <v>45</v>
      </c>
      <c r="C29" t="s">
        <v>44</v>
      </c>
    </row>
    <row r="30" spans="1:17" x14ac:dyDescent="0.25">
      <c r="A30" t="s">
        <v>42</v>
      </c>
      <c r="B30" t="s">
        <v>43</v>
      </c>
      <c r="C30" t="s">
        <v>42</v>
      </c>
    </row>
    <row r="31" spans="1:17" x14ac:dyDescent="0.25">
      <c r="A31" t="s">
        <v>20</v>
      </c>
      <c r="B31" t="s">
        <v>21</v>
      </c>
      <c r="C31" t="s">
        <v>20</v>
      </c>
    </row>
    <row r="32" spans="1:17" x14ac:dyDescent="0.25">
      <c r="A32" t="s">
        <v>6</v>
      </c>
      <c r="B32" t="s">
        <v>7</v>
      </c>
      <c r="C32" t="s">
        <v>6</v>
      </c>
    </row>
    <row r="33" spans="1:3" x14ac:dyDescent="0.25">
      <c r="A33" t="s">
        <v>46</v>
      </c>
      <c r="B33" t="s">
        <v>47</v>
      </c>
      <c r="C33" t="s">
        <v>46</v>
      </c>
    </row>
    <row r="34" spans="1:3" x14ac:dyDescent="0.25">
      <c r="A34" t="s">
        <v>40</v>
      </c>
      <c r="B34" t="s">
        <v>41</v>
      </c>
      <c r="C34" t="s">
        <v>40</v>
      </c>
    </row>
    <row r="35" spans="1:3" x14ac:dyDescent="0.25">
      <c r="A35" t="s">
        <v>34</v>
      </c>
      <c r="B35" t="s">
        <v>35</v>
      </c>
      <c r="C35" t="s">
        <v>34</v>
      </c>
    </row>
    <row r="36" spans="1:3" x14ac:dyDescent="0.25">
      <c r="A36" t="s">
        <v>4</v>
      </c>
      <c r="B36" t="s">
        <v>5</v>
      </c>
      <c r="C36" t="s">
        <v>4</v>
      </c>
    </row>
    <row r="37" spans="1:3" x14ac:dyDescent="0.25">
      <c r="A37" t="s">
        <v>48</v>
      </c>
      <c r="B37" t="s">
        <v>49</v>
      </c>
      <c r="C37" t="s">
        <v>48</v>
      </c>
    </row>
    <row r="38" spans="1:3" x14ac:dyDescent="0.25">
      <c r="A38" t="s">
        <v>2</v>
      </c>
      <c r="B38" t="s">
        <v>3</v>
      </c>
      <c r="C38" t="s">
        <v>2</v>
      </c>
    </row>
  </sheetData>
  <autoFilter ref="A1:B1" xr:uid="{D2AA2928-8B1F-4208-BDFB-0836BFD3D081}">
    <sortState xmlns:xlrd2="http://schemas.microsoft.com/office/spreadsheetml/2017/richdata2" ref="A2:B38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8FC0-E490-42CA-8140-51241EFB11C1}">
  <dimension ref="A1:B11"/>
  <sheetViews>
    <sheetView tabSelected="1" workbookViewId="0">
      <selection sqref="A1:B11"/>
    </sheetView>
  </sheetViews>
  <sheetFormatPr defaultRowHeight="15" x14ac:dyDescent="0.25"/>
  <cols>
    <col min="1" max="1" width="14.5703125" customWidth="1"/>
    <col min="2" max="2" width="61.85546875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 t="s">
        <v>61</v>
      </c>
      <c r="B2" s="4" t="str">
        <f>VLOOKUP(A2,'Question key'!$B$1:$C$38,2,FALSE)</f>
        <v>Bank branches per 100,000 adults</v>
      </c>
    </row>
    <row r="3" spans="1:2" x14ac:dyDescent="0.25">
      <c r="A3" s="3" t="s">
        <v>73</v>
      </c>
      <c r="B3" s="4" t="str">
        <f>VLOOKUP(A3,'Question key'!$B$1:$C$38,2,FALSE)</f>
        <v>Account used for business purposes (% age 15+)</v>
      </c>
    </row>
    <row r="4" spans="1:2" x14ac:dyDescent="0.25">
      <c r="A4" s="3" t="s">
        <v>15</v>
      </c>
      <c r="B4" s="4" t="str">
        <f>VLOOKUP(A4,'Question key'!$B$1:$C$38,2,FALSE)</f>
        <v>Saved any money in the past year (% age 15+)</v>
      </c>
    </row>
    <row r="5" spans="1:2" x14ac:dyDescent="0.25">
      <c r="A5" s="3" t="s">
        <v>25</v>
      </c>
      <c r="B5" s="4" t="str">
        <f>VLOOKUP(A5,'Question key'!$B$1:$C$38,2,FALSE)</f>
        <v>Loan in the past year (% age 15+)</v>
      </c>
    </row>
    <row r="6" spans="1:2" x14ac:dyDescent="0.25">
      <c r="A6" s="3" t="s">
        <v>31</v>
      </c>
      <c r="B6" s="4" t="str">
        <f>VLOOKUP(A6,'Question key'!$B$1:$C$38,2,FALSE)</f>
        <v>Loan from a private lender in the past year (% age 15+)</v>
      </c>
    </row>
    <row r="7" spans="1:2" x14ac:dyDescent="0.25">
      <c r="A7" s="3" t="s">
        <v>29</v>
      </c>
      <c r="B7" s="4" t="str">
        <f>VLOOKUP(A7,'Question key'!$B$1:$C$38,2,FALSE)</f>
        <v>Loan from an employer in the past year (% age 15+)</v>
      </c>
    </row>
    <row r="8" spans="1:2" x14ac:dyDescent="0.25">
      <c r="A8" s="3" t="s">
        <v>57</v>
      </c>
      <c r="B8" s="4" t="str">
        <f>VLOOKUP(A8,'Question key'!$B$1:$C$38,2,FALSE)</f>
        <v>Credit card (% age 15+)</v>
      </c>
    </row>
    <row r="9" spans="1:2" x14ac:dyDescent="0.25">
      <c r="A9" s="3" t="s">
        <v>53</v>
      </c>
      <c r="B9" s="4" t="str">
        <f>VLOOKUP(A9,'Question key'!$B$1:$C$38,2,FALSE)</f>
        <v>Depositing/withdrawing at least once in a typical month (% age 15+)</v>
      </c>
    </row>
    <row r="10" spans="1:2" x14ac:dyDescent="0.25">
      <c r="A10" s="3" t="s">
        <v>37</v>
      </c>
      <c r="B10" s="4" t="str">
        <f>VLOOKUP(A10,'Question key'!$B$1:$C$38,2,FALSE)</f>
        <v>Firms with a checking or savings account (%)</v>
      </c>
    </row>
    <row r="11" spans="1:2" x14ac:dyDescent="0.25">
      <c r="A11" s="3" t="s">
        <v>45</v>
      </c>
      <c r="B11" s="4" t="str">
        <f>VLOOKUP(A11,'Question key'!$B$1:$C$38,2,FALSE)</f>
        <v>Firms using banks to finance investments (%)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key</vt:lpstr>
      <vt:lpstr>top 10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Hoehler</dc:creator>
  <cp:lastModifiedBy>Martin Hoehler</cp:lastModifiedBy>
  <dcterms:created xsi:type="dcterms:W3CDTF">2025-02-01T23:36:44Z</dcterms:created>
  <dcterms:modified xsi:type="dcterms:W3CDTF">2025-03-02T06:19:27Z</dcterms:modified>
</cp:coreProperties>
</file>